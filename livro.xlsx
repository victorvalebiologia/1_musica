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1" sheetId="1" r:id="rId4"/>
    <sheet state="visible" name="T1" sheetId="2" r:id="rId5"/>
    <sheet state="visible" name="T2" sheetId="3" r:id="rId6"/>
    <sheet state="visible" name="T3" sheetId="4" r:id="rId7"/>
    <sheet state="visible" name="T4" sheetId="5" r:id="rId8"/>
  </sheets>
  <definedNames>
    <definedName hidden="1" localSheetId="0" name="_xlnm._FilterDatabase">Planilha1!$A$1:$AP$1000</definedName>
  </definedNames>
  <calcPr/>
  <pivotCaches>
    <pivotCache cacheId="0" r:id="rId9"/>
    <pivotCache cacheId="1" r:id="rId10"/>
  </pivotCaches>
  <extLst>
    <ext uri="GoogleSheetsCustomDataVersion2">
      <go:sheetsCustomData xmlns:go="http://customooxmlschemas.google.com/" r:id="rId11" roundtripDataChecksum="y15mXpT02k1Z1ndm2MnT1BJleqAwzwzrT2R7Zw9jRLc="/>
    </ext>
  </extLst>
</workbook>
</file>

<file path=xl/sharedStrings.xml><?xml version="1.0" encoding="utf-8"?>
<sst xmlns="http://schemas.openxmlformats.org/spreadsheetml/2006/main" count="13250" uniqueCount="2444">
  <si>
    <t>Autor</t>
  </si>
  <si>
    <t>Título</t>
  </si>
  <si>
    <t>Leitor</t>
  </si>
  <si>
    <t>Continente</t>
  </si>
  <si>
    <t>Região</t>
  </si>
  <si>
    <t>País</t>
  </si>
  <si>
    <t>Título.O</t>
  </si>
  <si>
    <t>Sexo</t>
  </si>
  <si>
    <t>Editora</t>
  </si>
  <si>
    <t>Século</t>
  </si>
  <si>
    <t>Década</t>
  </si>
  <si>
    <t>Ano_publicação</t>
  </si>
  <si>
    <t>Dia</t>
  </si>
  <si>
    <t>Mês</t>
  </si>
  <si>
    <t>Ano_leitura</t>
  </si>
  <si>
    <t>Origem</t>
  </si>
  <si>
    <t>Formato</t>
  </si>
  <si>
    <t>Gênero</t>
  </si>
  <si>
    <t>Subgênero</t>
  </si>
  <si>
    <t>Tempo</t>
  </si>
  <si>
    <t>Ano.H</t>
  </si>
  <si>
    <t>Mes.H</t>
  </si>
  <si>
    <t>Dia.H</t>
  </si>
  <si>
    <t>Origem.local</t>
  </si>
  <si>
    <t>Continente.H</t>
  </si>
  <si>
    <t>País.H</t>
  </si>
  <si>
    <t>Local</t>
  </si>
  <si>
    <t>Cenário</t>
  </si>
  <si>
    <t>Esfera</t>
  </si>
  <si>
    <t>Cultura</t>
  </si>
  <si>
    <t>Fantasia</t>
  </si>
  <si>
    <t>Coleção</t>
  </si>
  <si>
    <t>Idioma</t>
  </si>
  <si>
    <t>Enredo/Escrita</t>
  </si>
  <si>
    <t>Personagens/Personas</t>
  </si>
  <si>
    <t>Final/Nota</t>
  </si>
  <si>
    <t>Somatório</t>
  </si>
  <si>
    <t>Leitura</t>
  </si>
  <si>
    <t>Páginas</t>
  </si>
  <si>
    <t>Página_Total</t>
  </si>
  <si>
    <t>Pontos</t>
  </si>
  <si>
    <t>Resenha</t>
  </si>
  <si>
    <t>Maria José Dupré</t>
  </si>
  <si>
    <t>A Ilha Perdida</t>
  </si>
  <si>
    <t>Victor V.</t>
  </si>
  <si>
    <t>América</t>
  </si>
  <si>
    <t>Am. Latina</t>
  </si>
  <si>
    <t>Brasil</t>
  </si>
  <si>
    <t>F</t>
  </si>
  <si>
    <t>Ática</t>
  </si>
  <si>
    <t>Ensino Fundamental</t>
  </si>
  <si>
    <t>Livro</t>
  </si>
  <si>
    <t>Romance</t>
  </si>
  <si>
    <t>Infantojuvenil</t>
  </si>
  <si>
    <t>Era Vargas</t>
  </si>
  <si>
    <t>Terra</t>
  </si>
  <si>
    <t>São Paulo</t>
  </si>
  <si>
    <t>Taubaté</t>
  </si>
  <si>
    <t>Vida</t>
  </si>
  <si>
    <t>Infância</t>
  </si>
  <si>
    <t>N/A</t>
  </si>
  <si>
    <t>Coleção Vaga-Lume</t>
  </si>
  <si>
    <t>Português</t>
  </si>
  <si>
    <t>Ziraldo</t>
  </si>
  <si>
    <t>Flicts</t>
  </si>
  <si>
    <t>M</t>
  </si>
  <si>
    <t>Melhoramentos</t>
  </si>
  <si>
    <t>Infantil</t>
  </si>
  <si>
    <t>Imaginação</t>
  </si>
  <si>
    <t>Mente</t>
  </si>
  <si>
    <t>Cores</t>
  </si>
  <si>
    <t>Ruth Rocha &amp; Adalberto Cornavaca</t>
  </si>
  <si>
    <t>Marcelo, Martelo, Marmelo</t>
  </si>
  <si>
    <t>A</t>
  </si>
  <si>
    <t>Salamandra</t>
  </si>
  <si>
    <t>Ditadura Militar</t>
  </si>
  <si>
    <t>Marcos Rey</t>
  </si>
  <si>
    <t>O Rapto do Garoto de Ouro</t>
  </si>
  <si>
    <t>Soma - Página_Total</t>
  </si>
  <si>
    <t>Bexiga</t>
  </si>
  <si>
    <t>Vida/Mente</t>
  </si>
  <si>
    <t>Adolescência</t>
  </si>
  <si>
    <t>Luiz Puntel</t>
  </si>
  <si>
    <t>14 Total</t>
  </si>
  <si>
    <t>Acúcar Amargo</t>
  </si>
  <si>
    <t>16 Total</t>
  </si>
  <si>
    <t>18 Total</t>
  </si>
  <si>
    <t>19 Total</t>
  </si>
  <si>
    <t>20 Total</t>
  </si>
  <si>
    <t>21 Total</t>
  </si>
  <si>
    <t>Total geral</t>
  </si>
  <si>
    <t>Nova República</t>
  </si>
  <si>
    <t>Matéria</t>
  </si>
  <si>
    <t>Camponesa</t>
  </si>
  <si>
    <t>África</t>
  </si>
  <si>
    <t>Af. Subsaariana</t>
  </si>
  <si>
    <t>África do Sul</t>
  </si>
  <si>
    <t>J. K. Rowling</t>
  </si>
  <si>
    <t>Harry Potter e a Pedra Filosofal</t>
  </si>
  <si>
    <t>Europa</t>
  </si>
  <si>
    <t>Ilhas Britânicas</t>
  </si>
  <si>
    <t>Inglaterra</t>
  </si>
  <si>
    <t>Harry Potter and the Philosopher's Stone</t>
  </si>
  <si>
    <t>Rocco</t>
  </si>
  <si>
    <t>Congo</t>
  </si>
  <si>
    <t>Tenho</t>
  </si>
  <si>
    <t>Contemporâneo</t>
  </si>
  <si>
    <t>Maurícia</t>
  </si>
  <si>
    <t>Escócia</t>
  </si>
  <si>
    <t>Hogwarts</t>
  </si>
  <si>
    <t>Primórdio/Matéria</t>
  </si>
  <si>
    <t>Bruxaria</t>
  </si>
  <si>
    <t>Magia</t>
  </si>
  <si>
    <t>Harry Potter</t>
  </si>
  <si>
    <t>Moçambique</t>
  </si>
  <si>
    <t>Um impressionante criação d emundo e de personagens. Clássico absoluto, apesar da autora</t>
  </si>
  <si>
    <t>Nigéria</t>
  </si>
  <si>
    <t>Tulipa S. V.</t>
  </si>
  <si>
    <t>Quênia</t>
  </si>
  <si>
    <t>Somália</t>
  </si>
  <si>
    <t>Sudão</t>
  </si>
  <si>
    <t>Tanzania</t>
  </si>
  <si>
    <t>Norte da África</t>
  </si>
  <si>
    <t>Egito</t>
  </si>
  <si>
    <t>Am. Anglo-Saxônica</t>
  </si>
  <si>
    <t>Canadá</t>
  </si>
  <si>
    <t>USA</t>
  </si>
  <si>
    <t>Argentina</t>
  </si>
  <si>
    <t>SUM de Página_Total</t>
  </si>
  <si>
    <t>Chile</t>
  </si>
  <si>
    <t>Valeria Piassa Polizzi</t>
  </si>
  <si>
    <t>Depois Daquela Viagem</t>
  </si>
  <si>
    <t>HQ</t>
  </si>
  <si>
    <t>Colômbia</t>
  </si>
  <si>
    <t>México</t>
  </si>
  <si>
    <t>Literatura de Cordel</t>
  </si>
  <si>
    <t>Biografia</t>
  </si>
  <si>
    <t>Uruguai</t>
  </si>
  <si>
    <t>Autobiografia</t>
  </si>
  <si>
    <t>Vários</t>
  </si>
  <si>
    <t>Venezuela</t>
  </si>
  <si>
    <t>Navio</t>
  </si>
  <si>
    <t>Doença</t>
  </si>
  <si>
    <t>Morte</t>
  </si>
  <si>
    <t>Caribe</t>
  </si>
  <si>
    <t>Antígua e Barbuda</t>
  </si>
  <si>
    <t>Haiti</t>
  </si>
  <si>
    <t>Harry Potter e a Câmera Secreta</t>
  </si>
  <si>
    <t>Ásia</t>
  </si>
  <si>
    <t>Ásia Meridional</t>
  </si>
  <si>
    <t>Harry Potter and the Chamber of Secrets</t>
  </si>
  <si>
    <t>Índia</t>
  </si>
  <si>
    <t>Paquistão</t>
  </si>
  <si>
    <t>Extremo Oriente</t>
  </si>
  <si>
    <t>China</t>
  </si>
  <si>
    <t>Cingapura</t>
  </si>
  <si>
    <t>Harry Potter e o Prisioneiro de Azkaban</t>
  </si>
  <si>
    <t>Coréia do Sul</t>
  </si>
  <si>
    <t>Japão</t>
  </si>
  <si>
    <t>Vietnã</t>
  </si>
  <si>
    <t>Oriente Médio</t>
  </si>
  <si>
    <t>Afeganistão</t>
  </si>
  <si>
    <t>Irã</t>
  </si>
  <si>
    <t>J. R. R. Tolkien</t>
  </si>
  <si>
    <t>O Hobbit</t>
  </si>
  <si>
    <t>Israel</t>
  </si>
  <si>
    <t>Martins Fontes</t>
  </si>
  <si>
    <t>Líbano</t>
  </si>
  <si>
    <t>3ª Era</t>
  </si>
  <si>
    <t>Turquia</t>
  </si>
  <si>
    <t>Arda</t>
  </si>
  <si>
    <t>Terra Média</t>
  </si>
  <si>
    <t>Primórdio/Correspondência</t>
  </si>
  <si>
    <t>Eu. Meridional</t>
  </si>
  <si>
    <t>Fantasia Medieval</t>
  </si>
  <si>
    <t>Espanha</t>
  </si>
  <si>
    <t>Grécia</t>
  </si>
  <si>
    <t>O Senhor dos Anéis</t>
  </si>
  <si>
    <t>Itália</t>
  </si>
  <si>
    <t>Portugal</t>
  </si>
  <si>
    <t>Eu. Ocidental</t>
  </si>
  <si>
    <t>Alemanha</t>
  </si>
  <si>
    <t>Áustria</t>
  </si>
  <si>
    <t>França</t>
  </si>
  <si>
    <t>Harry Potter e o Cálice de Fogo</t>
  </si>
  <si>
    <t>Holanda</t>
  </si>
  <si>
    <t>Suíça</t>
  </si>
  <si>
    <t>Eu. Oriental</t>
  </si>
  <si>
    <t>Bielorussia</t>
  </si>
  <si>
    <t>COUNT de Páginas</t>
  </si>
  <si>
    <t>Espaço</t>
  </si>
  <si>
    <t>Espaço Total</t>
  </si>
  <si>
    <t>Moldávia</t>
  </si>
  <si>
    <t>Ivan Jaf</t>
  </si>
  <si>
    <t>O Vampiro que Descobriu o Brasil</t>
  </si>
  <si>
    <t>República Tcheca</t>
  </si>
  <si>
    <t>Arda Total</t>
  </si>
  <si>
    <t>Rússia</t>
  </si>
  <si>
    <t>Camorr Total</t>
  </si>
  <si>
    <t>Eu. Setentrional</t>
  </si>
  <si>
    <t>Noruega</t>
  </si>
  <si>
    <t>Darkover Total</t>
  </si>
  <si>
    <t>Suécia</t>
  </si>
  <si>
    <t>Discworld Total</t>
  </si>
  <si>
    <t>Publicidade</t>
  </si>
  <si>
    <t>Djelibeybi Total</t>
  </si>
  <si>
    <t>HQ Total</t>
  </si>
  <si>
    <t>Fantasia Total</t>
  </si>
  <si>
    <t>Imaginação Total</t>
  </si>
  <si>
    <t>Inferno Total</t>
  </si>
  <si>
    <t>Irlanda</t>
  </si>
  <si>
    <t>Irlanda do Norte</t>
  </si>
  <si>
    <t>Oceania</t>
  </si>
  <si>
    <t>Austrália</t>
  </si>
  <si>
    <t>Emprestado</t>
  </si>
  <si>
    <t>Humor</t>
  </si>
  <si>
    <t>Viagem</t>
  </si>
  <si>
    <t>História</t>
  </si>
  <si>
    <t>Vampiro</t>
  </si>
  <si>
    <t>Gonçalves de Magalhães</t>
  </si>
  <si>
    <t>Suspiro Poéticos e Saudades</t>
  </si>
  <si>
    <t>UnB</t>
  </si>
  <si>
    <t>Ensino Médio</t>
  </si>
  <si>
    <t>Poesia</t>
  </si>
  <si>
    <t>Romantismo</t>
  </si>
  <si>
    <t>Império do Brasil</t>
  </si>
  <si>
    <t>Rio de Janeiro</t>
  </si>
  <si>
    <t>Amor</t>
  </si>
  <si>
    <t>Camilo Castelo Branco</t>
  </si>
  <si>
    <t>Amor de Perdição</t>
  </si>
  <si>
    <t>Guerras Liberais</t>
  </si>
  <si>
    <t>Porto</t>
  </si>
  <si>
    <t>Auto-ajuda</t>
  </si>
  <si>
    <t>Aluísio Azevedo</t>
  </si>
  <si>
    <t>Teologia</t>
  </si>
  <si>
    <t>O Cortiço</t>
  </si>
  <si>
    <t>Klick</t>
  </si>
  <si>
    <t>Auto-ficção</t>
  </si>
  <si>
    <t>Naturalismo</t>
  </si>
  <si>
    <t>Primeira República</t>
  </si>
  <si>
    <t>Botafogo</t>
  </si>
  <si>
    <t>Pobreza</t>
  </si>
  <si>
    <t>Anne Rice</t>
  </si>
  <si>
    <t>Entrevista Com Vampiro</t>
  </si>
  <si>
    <t>Guerra</t>
  </si>
  <si>
    <t>Artenova</t>
  </si>
  <si>
    <t>Castelinho</t>
  </si>
  <si>
    <t>Terror</t>
  </si>
  <si>
    <t>Revolução Americana</t>
  </si>
  <si>
    <t>Louisiana</t>
  </si>
  <si>
    <t>Nova Orleans</t>
  </si>
  <si>
    <t>Metalinguistico</t>
  </si>
  <si>
    <t>Imortalidade</t>
  </si>
  <si>
    <t>Científico</t>
  </si>
  <si>
    <t>Astronomia</t>
  </si>
  <si>
    <t>Marion Zimmer Bradley</t>
  </si>
  <si>
    <t>Biologia</t>
  </si>
  <si>
    <t>Rainha da Tempestade</t>
  </si>
  <si>
    <t>Círculo do Livro</t>
  </si>
  <si>
    <t>Mitologia</t>
  </si>
  <si>
    <t>Darkover</t>
  </si>
  <si>
    <t>Primórdio</t>
  </si>
  <si>
    <t>Pseudo-ciência</t>
  </si>
  <si>
    <t>Outros mundos</t>
  </si>
  <si>
    <t>Psicologia</t>
  </si>
  <si>
    <t>Umberto Eco</t>
  </si>
  <si>
    <t>Contos</t>
  </si>
  <si>
    <t>O Nome da Rosa</t>
  </si>
  <si>
    <t>Gótico Sulista</t>
  </si>
  <si>
    <t>Modernismo</t>
  </si>
  <si>
    <t>Policial/Thriller</t>
  </si>
  <si>
    <t>Pós-Colonial</t>
  </si>
  <si>
    <t>Realismo</t>
  </si>
  <si>
    <t>Crônica</t>
  </si>
  <si>
    <t>Drama</t>
  </si>
  <si>
    <t>Renascimento</t>
  </si>
  <si>
    <t>Ensaio</t>
  </si>
  <si>
    <t>Literário</t>
  </si>
  <si>
    <t>Social</t>
  </si>
  <si>
    <t>Entrevista</t>
  </si>
  <si>
    <t>Épico-Poético</t>
  </si>
  <si>
    <t>Arcadismo</t>
  </si>
  <si>
    <t>Épico</t>
  </si>
  <si>
    <t>Epistolar</t>
  </si>
  <si>
    <t>Ensaio filosófico</t>
  </si>
  <si>
    <t>Fotografia</t>
  </si>
  <si>
    <t>Manual</t>
  </si>
  <si>
    <t>Iluminismo</t>
  </si>
  <si>
    <t>Poesia social</t>
  </si>
  <si>
    <t>Africapolitano</t>
  </si>
  <si>
    <t>Autoficção</t>
  </si>
  <si>
    <t>Colonialismo</t>
  </si>
  <si>
    <t>Comédia Romântica</t>
  </si>
  <si>
    <t>Faroeste</t>
  </si>
  <si>
    <t>Ficção Científica</t>
  </si>
  <si>
    <t>Ficção Histórica</t>
  </si>
  <si>
    <t>Gótico</t>
  </si>
  <si>
    <t>Gótico latino</t>
  </si>
  <si>
    <t>Realismo Fantástico</t>
  </si>
  <si>
    <t>Regionalismo</t>
  </si>
  <si>
    <t>Road Trip</t>
  </si>
  <si>
    <t>Romance Histórico</t>
  </si>
  <si>
    <t>Simbolismo</t>
  </si>
  <si>
    <t>Tratado</t>
  </si>
  <si>
    <t>Filosofia</t>
  </si>
  <si>
    <t>Livro Total</t>
  </si>
  <si>
    <t>Nárnia Total</t>
  </si>
  <si>
    <t>Olinka Total</t>
  </si>
  <si>
    <t>País das Maravilhas Total</t>
  </si>
  <si>
    <t>Sodoma e Gomorra Total</t>
  </si>
  <si>
    <t>Temerant Total</t>
  </si>
  <si>
    <t>Westeros Total</t>
  </si>
  <si>
    <t>África do Sul Total</t>
  </si>
  <si>
    <t>Egito Total</t>
  </si>
  <si>
    <t>Gana Total</t>
  </si>
  <si>
    <t>Moçambique Total</t>
  </si>
  <si>
    <t>Nigéria Total</t>
  </si>
  <si>
    <t>Quênia Total</t>
  </si>
  <si>
    <t>República do Congo Total</t>
  </si>
  <si>
    <t>Sudão Total</t>
  </si>
  <si>
    <t>Tanzania Total</t>
  </si>
  <si>
    <t>África Total</t>
  </si>
  <si>
    <t>Argentina Total</t>
  </si>
  <si>
    <t>Brasil Total</t>
  </si>
  <si>
    <t>Chile Total</t>
  </si>
  <si>
    <t>Colômbia Total</t>
  </si>
  <si>
    <t>Dominica Total</t>
  </si>
  <si>
    <t>Equador Total</t>
  </si>
  <si>
    <t>Haiti Total</t>
  </si>
  <si>
    <t>México Total</t>
  </si>
  <si>
    <t>Uruguai Total</t>
  </si>
  <si>
    <t>USA Total</t>
  </si>
  <si>
    <t>Venezuela Total</t>
  </si>
  <si>
    <t>América Total</t>
  </si>
  <si>
    <t>Antártica</t>
  </si>
  <si>
    <t>Antártica Total</t>
  </si>
  <si>
    <t>Alfeganistão Total</t>
  </si>
  <si>
    <t>Arábia Saudita Total</t>
  </si>
  <si>
    <t>China Total</t>
  </si>
  <si>
    <t>Coréia do Norte Total</t>
  </si>
  <si>
    <t>Coréia do Sul Total</t>
  </si>
  <si>
    <t>Iêmen Total</t>
  </si>
  <si>
    <t>Índia Total</t>
  </si>
  <si>
    <t>Indonésia Total</t>
  </si>
  <si>
    <t>Irã Total</t>
  </si>
  <si>
    <t>Israel Total</t>
  </si>
  <si>
    <t>Japão Total</t>
  </si>
  <si>
    <t>Palestina Total</t>
  </si>
  <si>
    <t>Paquistão Total</t>
  </si>
  <si>
    <t>Síria Total</t>
  </si>
  <si>
    <t>Turquia Total</t>
  </si>
  <si>
    <t>Vietnã Total</t>
  </si>
  <si>
    <t>Ásia Total</t>
  </si>
  <si>
    <t>Alemanha Total</t>
  </si>
  <si>
    <t>Áustria Total</t>
  </si>
  <si>
    <t>Bélgica Total</t>
  </si>
  <si>
    <t>Bielorussia Total</t>
  </si>
  <si>
    <t>Dinamarca Total</t>
  </si>
  <si>
    <t>Escócia Total</t>
  </si>
  <si>
    <t>Espanha Total</t>
  </si>
  <si>
    <t>França Total</t>
  </si>
  <si>
    <t>Grécia Total</t>
  </si>
  <si>
    <t>Inglaterra Total</t>
  </si>
  <si>
    <t>Irlanda Total</t>
  </si>
  <si>
    <t>Itália Total</t>
  </si>
  <si>
    <t>Noruega Total</t>
  </si>
  <si>
    <t>País de Gales Total</t>
  </si>
  <si>
    <t>Polônia Total</t>
  </si>
  <si>
    <t>Portugal Total</t>
  </si>
  <si>
    <t>República Tcheca Total</t>
  </si>
  <si>
    <t>Romênia Total</t>
  </si>
  <si>
    <t>Rússia Total</t>
  </si>
  <si>
    <t>Suécia Total</t>
  </si>
  <si>
    <t>Suíça Total</t>
  </si>
  <si>
    <t>Vaticano Total</t>
  </si>
  <si>
    <t>Europa Total</t>
  </si>
  <si>
    <t>Austrália Total</t>
  </si>
  <si>
    <t>Nova Zelândia Total</t>
  </si>
  <si>
    <t>Oceania Total</t>
  </si>
  <si>
    <t>Terra Total</t>
  </si>
  <si>
    <t>Vários Total</t>
  </si>
  <si>
    <t>Il nome della rosa</t>
  </si>
  <si>
    <t>Nova Fronteira</t>
  </si>
  <si>
    <t>Idade Média</t>
  </si>
  <si>
    <t>Lazio</t>
  </si>
  <si>
    <t>Assassinato</t>
  </si>
  <si>
    <t>Cristianismo</t>
  </si>
  <si>
    <t>André Vinco</t>
  </si>
  <si>
    <t>Os Sete</t>
  </si>
  <si>
    <t>Novo Século</t>
  </si>
  <si>
    <t>Osasco</t>
  </si>
  <si>
    <t>Sobrenatural</t>
  </si>
  <si>
    <t>Harry Potter e a Ordem de Fênix</t>
  </si>
  <si>
    <t>Joaquim Manuel de Macedo</t>
  </si>
  <si>
    <t>A Moreninha</t>
  </si>
  <si>
    <t>Segundo Reinado</t>
  </si>
  <si>
    <t>Ilha de Paquetá</t>
  </si>
  <si>
    <t>Ávares de Azevedo</t>
  </si>
  <si>
    <t>Lira dos Vinte Anos</t>
  </si>
  <si>
    <t>Martin Claret</t>
  </si>
  <si>
    <t>José de Alencar</t>
  </si>
  <si>
    <t>A Viuvinha/Cinco Minutos</t>
  </si>
  <si>
    <t>Ediouro</t>
  </si>
  <si>
    <t>Centro</t>
  </si>
  <si>
    <t>O Guarani</t>
  </si>
  <si>
    <t>Floresta</t>
  </si>
  <si>
    <t>Indianismo</t>
  </si>
  <si>
    <t>Lucíola</t>
  </si>
  <si>
    <t>Santa Tereza</t>
  </si>
  <si>
    <t>Iracema</t>
  </si>
  <si>
    <t>Período Colonial</t>
  </si>
  <si>
    <t>Ceará</t>
  </si>
  <si>
    <t>Ipú</t>
  </si>
  <si>
    <t>Senhora</t>
  </si>
  <si>
    <t>Laranjeiras</t>
  </si>
  <si>
    <t>Bernardo Gumarães</t>
  </si>
  <si>
    <t>A Escrava Isaura</t>
  </si>
  <si>
    <t>Campos de Goytacazes</t>
  </si>
  <si>
    <t>Escravidão</t>
  </si>
  <si>
    <t>Machado de Assis</t>
  </si>
  <si>
    <t>Memórias Póstumas de Brás Cubas</t>
  </si>
  <si>
    <t>Companhia das Letras</t>
  </si>
  <si>
    <t>Espírito</t>
  </si>
  <si>
    <t>Fantasma</t>
  </si>
  <si>
    <t>Várias Histórias</t>
  </si>
  <si>
    <t>Subúrbio</t>
  </si>
  <si>
    <t>Carlos Drummond de Andrade</t>
  </si>
  <si>
    <t>Alguma Poesia</t>
  </si>
  <si>
    <t>Record</t>
  </si>
  <si>
    <t>Minas Geraes</t>
  </si>
  <si>
    <t>Itabira</t>
  </si>
  <si>
    <t>Graciliano Ramos</t>
  </si>
  <si>
    <t>São Bernardo</t>
  </si>
  <si>
    <t>Alagoas</t>
  </si>
  <si>
    <t>Matéria/Vida</t>
  </si>
  <si>
    <t>Enriquecimento</t>
  </si>
  <si>
    <t>Nelson Rodrigues</t>
  </si>
  <si>
    <t>Vestido de Noiva</t>
  </si>
  <si>
    <t>Cinelândia</t>
  </si>
  <si>
    <t>Espírito/Mente</t>
  </si>
  <si>
    <t>João Guimarães Rosa</t>
  </si>
  <si>
    <t>A Hora e a Vez de Augusto Matraga</t>
  </si>
  <si>
    <t>Pindaíbas</t>
  </si>
  <si>
    <t>Rubem Fonseca</t>
  </si>
  <si>
    <t>Romance Negro, Feliz Ano Novo e Outros Contos</t>
  </si>
  <si>
    <t>São Conrado</t>
  </si>
  <si>
    <t>Clarice Linspector</t>
  </si>
  <si>
    <t>A Hora da Estrela</t>
  </si>
  <si>
    <t>São Cristóvão</t>
  </si>
  <si>
    <t>Mente/Entropi</t>
  </si>
  <si>
    <t>João Cabral de Melo Neto</t>
  </si>
  <si>
    <t>Auto do Frade</t>
  </si>
  <si>
    <t>Confederação do Equador</t>
  </si>
  <si>
    <t>Pernambuco</t>
  </si>
  <si>
    <t>Recife</t>
  </si>
  <si>
    <t>Sertanejo</t>
  </si>
  <si>
    <t>Tomaz Antônio Gonzaga</t>
  </si>
  <si>
    <t>Marília de Dirceu</t>
  </si>
  <si>
    <t>L&amp;PM Pocket</t>
  </si>
  <si>
    <t>Ouro Preto</t>
  </si>
  <si>
    <t>Mitologia Grega</t>
  </si>
  <si>
    <t>Mário de Andrade</t>
  </si>
  <si>
    <t>Macunaíma</t>
  </si>
  <si>
    <t>Villa Rica</t>
  </si>
  <si>
    <t>Pré-Vestibular</t>
  </si>
  <si>
    <t>Correspondência</t>
  </si>
  <si>
    <t>Folclore</t>
  </si>
  <si>
    <t>As Brumas de Avalon - Vol. 3</t>
  </si>
  <si>
    <t>Nova Cultural</t>
  </si>
  <si>
    <t>Era Arthuriana</t>
  </si>
  <si>
    <t>Glastonburry</t>
  </si>
  <si>
    <t>Avalon</t>
  </si>
  <si>
    <t>Crônicas Arturianas</t>
  </si>
  <si>
    <t>As Brumas de Avalon - Vol. 2</t>
  </si>
  <si>
    <t>As Brumas de Avalon - Vol. 4</t>
  </si>
  <si>
    <t>As Brumas de Avalon - A Senhora da Magia</t>
  </si>
  <si>
    <t>Luis Fernando Veríssimo</t>
  </si>
  <si>
    <t>Comédias da Vida Privada</t>
  </si>
  <si>
    <t>Cidade</t>
  </si>
  <si>
    <t>Urbana</t>
  </si>
  <si>
    <t>Todas as Histórias do Analista de Bajé</t>
  </si>
  <si>
    <t>Rio Grande do Sul</t>
  </si>
  <si>
    <t>Bagé</t>
  </si>
  <si>
    <t>Christian Jacq</t>
  </si>
  <si>
    <t>A Rainha Sol</t>
  </si>
  <si>
    <t>La Reine Soleil</t>
  </si>
  <si>
    <t>Bertrand Brasil</t>
  </si>
  <si>
    <t>Novo Império</t>
  </si>
  <si>
    <t>Tell el-Amarna</t>
  </si>
  <si>
    <t>Akhetaten</t>
  </si>
  <si>
    <t>Antigo Egito</t>
  </si>
  <si>
    <t>Monstro</t>
  </si>
  <si>
    <t>Dan Brown</t>
  </si>
  <si>
    <t>O Código Da Vinci</t>
  </si>
  <si>
    <t>Sextante</t>
  </si>
  <si>
    <t>Quinta República</t>
  </si>
  <si>
    <t>Paris</t>
  </si>
  <si>
    <t>Louvre</t>
  </si>
  <si>
    <t>Arte</t>
  </si>
  <si>
    <t>Robert Langdon</t>
  </si>
  <si>
    <t>Harry Potter e o Enigma do Príncipe</t>
  </si>
  <si>
    <t>C. S. Lewis</t>
  </si>
  <si>
    <t>As Crônicas de Nárnia</t>
  </si>
  <si>
    <t>WMF Martins Fontes</t>
  </si>
  <si>
    <t>Nárnia</t>
  </si>
  <si>
    <t>Contos de Fadas</t>
  </si>
  <si>
    <t>Dee Brown</t>
  </si>
  <si>
    <t>Enterrem meu Coração na Curva do Rio</t>
  </si>
  <si>
    <t>Expansão para oeste</t>
  </si>
  <si>
    <t>Nação Syoux</t>
  </si>
  <si>
    <t>Bernard Cornwell</t>
  </si>
  <si>
    <t>O Arqueiro</t>
  </si>
  <si>
    <t>Guerra dos Cem Anos</t>
  </si>
  <si>
    <t>Dorset</t>
  </si>
  <si>
    <t>Hookton</t>
  </si>
  <si>
    <t>A Busca do Graal</t>
  </si>
  <si>
    <t>Eiji Yoshikawa</t>
  </si>
  <si>
    <t>Musashi Vol. II</t>
  </si>
  <si>
    <t>Miyamoto Musashi (宮本武蔵)</t>
  </si>
  <si>
    <t>Estação Liberdade</t>
  </si>
  <si>
    <t>Sengoku-Jidai</t>
  </si>
  <si>
    <t>Kyoto</t>
  </si>
  <si>
    <t>Vida/Entropia</t>
  </si>
  <si>
    <t>Samurai</t>
  </si>
  <si>
    <t>William Peter Blatty</t>
  </si>
  <si>
    <t>O Exorcista</t>
  </si>
  <si>
    <t>Guerra do Vietnã</t>
  </si>
  <si>
    <t>Washington DC</t>
  </si>
  <si>
    <t>Colúmbia</t>
  </si>
  <si>
    <t>Demônio</t>
  </si>
  <si>
    <t>Fortaleza Digital</t>
  </si>
  <si>
    <t>Tecnologia</t>
  </si>
  <si>
    <t>Anjos e Demônios</t>
  </si>
  <si>
    <t>Angels &amp; Demons</t>
  </si>
  <si>
    <t>Roma</t>
  </si>
  <si>
    <t>Ponto de Impacto</t>
  </si>
  <si>
    <t>Harry Potter e as Relíquias da Morte</t>
  </si>
  <si>
    <t>Walter Isaacson</t>
  </si>
  <si>
    <t>Eistein Sua Vida Seu Universo</t>
  </si>
  <si>
    <t>Einstein: His Life and Universe</t>
  </si>
  <si>
    <t>Império Austro-Húngaro</t>
  </si>
  <si>
    <t>Praga</t>
  </si>
  <si>
    <t>Forças</t>
  </si>
  <si>
    <t>Ciência</t>
  </si>
  <si>
    <t>Fiódor Dostoiévisk</t>
  </si>
  <si>
    <t>Crime e Castigo - Vol II</t>
  </si>
  <si>
    <t>Преступление и наказание (Prestupleniye i nakazaniye)</t>
  </si>
  <si>
    <t>Abril</t>
  </si>
  <si>
    <t>Rússia Czarista</t>
  </si>
  <si>
    <t>São Petesburgo</t>
  </si>
  <si>
    <t>Crime</t>
  </si>
  <si>
    <t>Crime e Castigo - Vol I</t>
  </si>
  <si>
    <t>Jean-Paul Sartre</t>
  </si>
  <si>
    <t>O Muro</t>
  </si>
  <si>
    <t>CCAUFES</t>
  </si>
  <si>
    <t>Terceira República Francesa</t>
  </si>
  <si>
    <t>Existencialismo</t>
  </si>
  <si>
    <t>Vinicius Bittencourt</t>
  </si>
  <si>
    <t>O Criminalista</t>
  </si>
  <si>
    <t>Espírito Santo</t>
  </si>
  <si>
    <t>Vitória</t>
  </si>
  <si>
    <t>Mente/Entropia</t>
  </si>
  <si>
    <t>Judiciário</t>
  </si>
  <si>
    <t>José Saramago</t>
  </si>
  <si>
    <t>O Evangelho Segundo Jesus Cristo</t>
  </si>
  <si>
    <t>Império Romano</t>
  </si>
  <si>
    <t>Palestina</t>
  </si>
  <si>
    <t>Galileia</t>
  </si>
  <si>
    <t>Judaica</t>
  </si>
  <si>
    <t>Khaled Hosseini</t>
  </si>
  <si>
    <t>O Caçador de Pipas</t>
  </si>
  <si>
    <t>The Kite Runner</t>
  </si>
  <si>
    <t>República do Afeganistão</t>
  </si>
  <si>
    <t>Alfeganistão</t>
  </si>
  <si>
    <t>Cabul</t>
  </si>
  <si>
    <t>John Sack</t>
  </si>
  <si>
    <t>A Cospiração Franciscana</t>
  </si>
  <si>
    <t>Fingerprint</t>
  </si>
  <si>
    <t>Úmbria</t>
  </si>
  <si>
    <t>Pádua</t>
  </si>
  <si>
    <t>Religiosa</t>
  </si>
  <si>
    <t>Thomas Harris</t>
  </si>
  <si>
    <t>Hannibal  - O Origem do Mal</t>
  </si>
  <si>
    <t>Segunda Guerra Mundial</t>
  </si>
  <si>
    <t>Dante Alighieri</t>
  </si>
  <si>
    <t>A Divina Comédia</t>
  </si>
  <si>
    <t>La Divina Commedia</t>
  </si>
  <si>
    <t>Landmark</t>
  </si>
  <si>
    <t>Inferno</t>
  </si>
  <si>
    <t>Reinos Celestiais</t>
  </si>
  <si>
    <t>Nicolau Maquiavel</t>
  </si>
  <si>
    <t>O Príncipe</t>
  </si>
  <si>
    <t>Il Principe</t>
  </si>
  <si>
    <t>Pocket Ouro</t>
  </si>
  <si>
    <t>Renascença</t>
  </si>
  <si>
    <t>Florença</t>
  </si>
  <si>
    <t>Terry Pratchett</t>
  </si>
  <si>
    <t>Pirâmides</t>
  </si>
  <si>
    <t>Conrad</t>
  </si>
  <si>
    <t>Djelibeybi</t>
  </si>
  <si>
    <t>Reinado</t>
  </si>
  <si>
    <t>Discworld</t>
  </si>
  <si>
    <t>Stephenie Meyer</t>
  </si>
  <si>
    <t>Lua Nova</t>
  </si>
  <si>
    <t>Intrínseca</t>
  </si>
  <si>
    <t>Washington</t>
  </si>
  <si>
    <t>Forks</t>
  </si>
  <si>
    <t>Crepúsculo</t>
  </si>
  <si>
    <t>Eclipse</t>
  </si>
  <si>
    <t>Amanhecer</t>
  </si>
  <si>
    <t>Gustace Flaubert</t>
  </si>
  <si>
    <t>Madame Bovary</t>
  </si>
  <si>
    <t>Publifolha</t>
  </si>
  <si>
    <t>Segundo Império Francês</t>
  </si>
  <si>
    <t>Normandia</t>
  </si>
  <si>
    <t>Yonville-l'Abbaye</t>
  </si>
  <si>
    <t>Patriarcado</t>
  </si>
  <si>
    <t>Perder-se em uma realidade construída pelo desejo de uma vida vazia leva a conseqüências terríveis nessa história. Não aceitar a própria sorte e almejar status nem que estes sejam particulares leva a ´personagem a mergulhar em um redemoinhos de más decisões, traições e sofrimento que a leva não só ao suicídio, mas ao fim da vida de um homem que viveu para agradá-la e da inocente criança em meio a esta tempestade emocional. Fico impressionado de como essa história é contemporânea. Quantos destroem a própria vida por aparências ou desejos de viver um vida virtual.</t>
  </si>
  <si>
    <t>Augusto Cury</t>
  </si>
  <si>
    <t>O Segredo do Pai Nosso</t>
  </si>
  <si>
    <t>Planeta</t>
  </si>
  <si>
    <t>Desvendar a mente de Deus a partir da oração do Pai-Nosso revela que Sua mente é tão ou mais humana do que a nossa. Que a imagem e semelhança é valida para a imaginação criativa e para o sofrimento emocional. Tentar explicar Suas propostas a partir das atitudes de Jesus, Seu maior espelho, é desvendar o o âmago de quem realmente somos. E fiquei com as dúvidas: Onde está Deus? No abismo infinito de nossa alma ou na infinidade do céu de nossa mente? Que Deus somos todos ou todos somos Deus?</t>
  </si>
  <si>
    <t>Felipe Aquino (Prof.)</t>
  </si>
  <si>
    <t>Uma História que não foi Contada</t>
  </si>
  <si>
    <t>Cleófas</t>
  </si>
  <si>
    <t>Aggiornamento</t>
  </si>
  <si>
    <t>Vaticano</t>
  </si>
  <si>
    <t>Cont.Núm - Página_Total</t>
  </si>
  <si>
    <t>Abdulrazak Gurnah</t>
  </si>
  <si>
    <t>Á Beira-Mar</t>
  </si>
  <si>
    <t>Revolver o passado é difícil. Como a maré ele traz fragmentos aleatórios para compor um todo. Refaz e transforma a lembrança como dunas, memórias estas fatalmente distorcidas, apaziguadas e acentuadas por nós mesmo, para nos definir. O ritmo da história era como as mansões, por hora levava para longe, para o que se tornaram. Outras horas traziam de volta, enxurrada de lembranças que convergem, mas não se refletem exatamente transformadas pelo relevo da própria vivência. Meandroso, complicado e cru.</t>
  </si>
  <si>
    <t>Abi Daré</t>
  </si>
  <si>
    <t>A Garota que não se Calou</t>
  </si>
  <si>
    <t>Abi Daré exagera os extremos da maldade e da virtude para nos lembrar o quão profundo pode ser a miséria e a crueldade humana. Quantos ainda hoje vivem em regime similar a escravidão? Muitos tão perto da gente? Nessa obra, Abi é a menina que não quer se calar, quer gritar a realidade que ninguém tem interesse de olhar!</t>
  </si>
  <si>
    <t>Adolfo Bioy Casares</t>
  </si>
  <si>
    <t>O Sonho dos Heróis</t>
  </si>
  <si>
    <t>Seria a obsessão o destino ou o destino obcecado guiando os passos de Gauna?</t>
  </si>
  <si>
    <t>Adrienne Benson</t>
  </si>
  <si>
    <t>O Sol Mais Brilhante</t>
  </si>
  <si>
    <t>Admirável a mostrar uma áfrica humana, realista, sem a romantização da pobreza, do salvador branco ou fazer do livro um documentário da National Geographic. Também gostei da jornada falada pelo ponto de vista de cinco mulheres profundas. O problema estava justamente na construção dessa profundidade. Alguns backgrounds foram desnecessários, meio masoquistas e quase sem propósito a não ser impactar.</t>
  </si>
  <si>
    <t>Adrienne Young</t>
  </si>
  <si>
    <t>Os Descaminhos de June Farrow</t>
  </si>
  <si>
    <t>Confusa e particular demais viagem no tempo. No final das contas, essa habilidade não sai da esfera pessoal. Um milagre de quase nada.</t>
  </si>
  <si>
    <t>Um Oceano de Coisas Não Ditas</t>
  </si>
  <si>
    <t>O texto é como a floresta. Grande, labiríntico, se perde várias vezes. O mistério se esvai nessa escuridão, no fim, pouco importa. Uma história que seria melhor apreciada se fosse menor.</t>
  </si>
  <si>
    <t>Afonso Cruz</t>
  </si>
  <si>
    <t>Sinopse de Amor e Guerra</t>
  </si>
  <si>
    <t>Os personagens são visto da ótima poética, como reflexos em poças de água. O amor e a dor, o físico e o mental, é tudo em uma perspectiva interna, emocional, no sobrescrito. E no fim, fica a maior sinopse sobre o amor e guerra que, para ambos, tudo vale para conseguir.</t>
  </si>
  <si>
    <t>Alain Mabanckou</t>
  </si>
  <si>
    <t>Moisés Negro</t>
  </si>
  <si>
    <t>Vítima de experimentalismo políticos, sucessões de poder e poder a todo custo, Moisés, com seu interminável nome, foi provado várias vezes de companhia de afeto. Sem base e raiz, todos aqueles em que semeou afeto e apego lhe foram arrancados pela tempestade política e a corja de beneficiados por isso. Sem isso, como saber quem é? E sem identidade, como vagar pela maré turbulenta da vida? Dessa vez Moisés não foi o libertador e ninguém pode salvá-lo.</t>
  </si>
  <si>
    <t>Alana S. Portero</t>
  </si>
  <si>
    <t>Mau Hábito</t>
  </si>
  <si>
    <t>Sem romantismo e sem caricatura. Entra profunda na pobre personagem que, por meios de traumas, se encontra de forma quase perpétua em estado de lagarta ou pupa, poucos deslumbres de travesti-mariposa. As correntes sociais com elos de medo e controla evisceradas da sociedade.</t>
  </si>
  <si>
    <t>Alejandro Puyana</t>
  </si>
  <si>
    <t>O Gosto da Liberdade</t>
  </si>
  <si>
    <t>Os personagens representam bem a Venezuela. São maculados, feridos, sequestrados e mal-tratado por um ou mais estado totalitário. Triste realidade latina onde o homem se torna maior que a causa e, em nome de um mito, crimes são permitidos.</t>
  </si>
  <si>
    <t>Alfred W. Crosby</t>
  </si>
  <si>
    <t>Imperialismo Ecológico</t>
  </si>
  <si>
    <t>Um bom livro de ecologia e biogeografia que possui a capacidade de remodelar e quebrar paradigmas a respeito do imperialismo europeu no resto do mundo</t>
  </si>
  <si>
    <t>Alice Walker</t>
  </si>
  <si>
    <t>A Terceira Vida de Grange Copeland</t>
  </si>
  <si>
    <t>Visceral. Uma longa roda de opressão, iniciada na escravidão, e que se mantem até hoje, mas mais proeminente no período da primeira metade do século no sul do estado da Geórgia e mesmo no norte, considerada "isenta" disso. Pessoas tratadas como descartáveis, braços e pernas para labuta, sem qualquer consideração ou perspectiva, diminuídos a quase nada por seus patrões branco. Os homens repetem a roda roda da opressão em casa, simulando o tratamento escravizador e humilhante com suas famílias, como uma unica afirmação de domínio, mas este de um machismo tóxico, violento em sua ignorância. AA roda não para, é alimentada pelo desespero e falta de informação, de sangue e lágrimas, máquina da manutenção do status quo.</t>
  </si>
  <si>
    <t>O Segredo da Alegria</t>
  </si>
  <si>
    <t>Toda uma estrutura social, religiosa e comportamental para justificar mutilação e tortura. A humanidade sempre empenhada em sangrar mulheres e meninas, em nome de qualquer deus.</t>
  </si>
  <si>
    <t>Alison Espach</t>
  </si>
  <si>
    <t>Como Arruinar um Casamento</t>
  </si>
  <si>
    <t>Entre depressão e alegrias, auto descoberta e auto enganação, a história se sustenta no bom humor. Mas, pessoalmente, achei só uma bobeirada gostosinha. Que vamos para os próximos.</t>
  </si>
  <si>
    <t>Alka Joshi</t>
  </si>
  <si>
    <t>A Pintora de Henna</t>
  </si>
  <si>
    <t>Alka destrinchou com curvas delicadas como arabescos de henna a estrutura social da Índia. Lakshimi atravessou as redes estruturadas no racismo e machismo da sociedade em uma rota labiríntica de humilhação e aceitação, custando-lhe sua dignidade. Esta, uma personagem acinzentada, com suas qualidades e defeitos explorado com inteligência. O mesmo para quase insuportável irmã. Quem não gosta de uma boa novelinha?</t>
  </si>
  <si>
    <t>Seis dias em Bombain</t>
  </si>
  <si>
    <t>As vezes, tudo o que precisamos é de um exemplo. Alguém para mudar as estruturas e romper barreiras, barreiras auto-impostas.</t>
  </si>
  <si>
    <t>Amélie Nothomb</t>
  </si>
  <si>
    <t>Primeiro Sangue</t>
  </si>
  <si>
    <t>A história de Patrick é contada com tanta proximidade, sob sua ótica limpa e sem afetação. Entendemos quem ele é, o que pensa, seu âmago, dores, desejos, inocência e profundidade de forma muito direta, com uso inteligentíssimo e econômico de palavras. Patrick cresce, de criança mimada, a selva darwiniana e aristocrática de Ardenas, ao nascimento do amor e da carreira navegando em humor e alguns pensamentos suficientes para construí-lo. O Congo é visto muito distante na ótica dele. Vemos mais as consequência em que ele está inserido, com um bom-humor terrível diante da situação apavorante. E esse Congo inexplicado foi o que me causou um pouco de estranhamento sabendo do que foi feito lá pelos belgas.</t>
  </si>
  <si>
    <t>Amin Malouf</t>
  </si>
  <si>
    <t>Samarcanda</t>
  </si>
  <si>
    <t>Samarcanda é sobre o que é eterno e o que é perene. A Pérsia eterna em sociedade, mas frágil sobre mudanças. Os rubai eternos no tempo, mas singelos em quatro versos rimados. O próprio livro eternos nas lendas, mas naufragado no tempo. Grande obra de imensa capacidade de nos transportar para alma do persa. Obra-prima!</t>
  </si>
  <si>
    <t>Amita Trasi</t>
  </si>
  <si>
    <t>Todas as Cores do Céu</t>
  </si>
  <si>
    <t>Melodramático e previsível. Parecem as história de Bollywood em sua atmosfera inocente. No entanto, a realidade fictícia apresentada consegue ser absurdamente factível na imensa Índia.</t>
  </si>
  <si>
    <t>Amy Tintera</t>
  </si>
  <si>
    <t>No Rastro da Mentira</t>
  </si>
  <si>
    <t>O carisma da protagonista é imenso, consegue sustentar um enredo que, às vezes é inflado ou apressado. O uso do true crime foi brilhante, instigante, Ben também é um bom personagem. Só não gostei muito do final apressado, um desmascarar mágico e a falta de explicação dos familiares. D todo modo, gostei do livro.</t>
  </si>
  <si>
    <t>Ana Beatriz Barbosa Silva</t>
  </si>
  <si>
    <t>Mentes Perigosas</t>
  </si>
  <si>
    <t>A pretensão de Ana Beatriz Barbosa Silva de quebrar nosso paradigma sobre a certeza do mal e a imagem clássica de um psicopata foi realizada com sucesso. Esclareceu, explicou e recomendou a respeito dessas mentes naturalmente perigosas que nos cerca - até 3% da população. Talvez agora eu tenha um pouco mais de medo, mas também tenho informação para poder me defender.</t>
  </si>
  <si>
    <t>Andréa Del Fuego</t>
  </si>
  <si>
    <t>Os Malaquias</t>
  </si>
  <si>
    <t>Corte rápido de faca afiada. O sangue não aparece de cara, a dor surge depois do entendimento. Faca sagrada de santos repleta de magia antiga. A dor é crua e sem consolo. A maldade natural e constante.</t>
  </si>
  <si>
    <t>Angela Carter</t>
  </si>
  <si>
    <t>A Câmara Sangrenta e Outras Histórias</t>
  </si>
  <si>
    <t>Histórias que positivamente subvertem o imaginário comum dos contos de fadas. Contos estes colocado em ótica feminina sem cair na simplificação do perfeito contra o imperfeito, mesmo que demonstre a clássica luta do bem contra o mal. Existe sutileza na violência utilizada com traços de relacionamento abusivo, estupro, domínio e posse das personagens que lutam para escapar ou para se tornarem iguais.</t>
  </si>
  <si>
    <t>Angelo Miranda</t>
  </si>
  <si>
    <t>Análise Mortal</t>
  </si>
  <si>
    <t>Primeiro quero agradecer a prontidão e a consideração que o autor teve ao vender o livro e a mensagem carinhosamente assinada. A história é muito boa, nos prende e nos causa angústia. O personagem principal mostra-se humano por ser cheio de falhas e preso em seu egoísmo e enorme covardia. Algumas vezes a repugnância que senti apor outros personagens esbarrava, devido a difícil abordagens deste tema, em um certo preconceito (por exemplo a origem nordestina de Jeremias). Também senti incongruências nas relações de Fred com Jeremias e Cláudia que as vezes era de raiva/inimizade outras de amor/companheirismo. Quanto ao texto o começo apresenta uma escrita um pouco redundante e, como foi dito acima, um pouco de descuido ao descrever opiniões do personagem sem esbarrar numa possível opinião do próprio autor. Porém, esses aspectos são de um escritor em começo de carreira com claro potencial de crescer e se tornar um forte representante da literatura de horror em nosso país.</t>
  </si>
  <si>
    <t>Angus Donald</t>
  </si>
  <si>
    <t>Fora da Lei</t>
  </si>
  <si>
    <t>Ann Napolitano</t>
  </si>
  <si>
    <t>Querido Edward</t>
  </si>
  <si>
    <t>Confesso que não me peguei a história, a morosidade dos acontecimentos, o luto apático e realista de Edward não me conquistou. No entanto, estou apaixonado pela personagem da Shay, pura luz!</t>
  </si>
  <si>
    <t>Annie Ernaux</t>
  </si>
  <si>
    <t>Os Armários Vazios</t>
  </si>
  <si>
    <t>Um mergulho no conturbado pensar imaturo. A personagem se perde em duas vivências distintas e, nessa fissura, cai em derrocada, em decadência. Do amor e do sucesso colheu a confusão e a revolta.</t>
  </si>
  <si>
    <t>Antonio Skármata</t>
  </si>
  <si>
    <t>O Dia em que a Poesia Derrotou um Ditador</t>
  </si>
  <si>
    <t>Pareceu que o fim da ditadura foi acidente. Vontade dos deuses, uma falta da lógica, uma falha na filosofia dos ditadores autoritárias e, por isso mesmo, fantasticamente possível. A América Latina é terra da magia.</t>
  </si>
  <si>
    <t>Antonio Tabucchi</t>
  </si>
  <si>
    <t>Afirma Pereira</t>
  </si>
  <si>
    <t>Impressionante o quanto uma obra pode se tornar contemporânea! Falando da ditadura Salazarista a obra ecoa no Berluschonismo arcaico e atrasado da Itália dos anos 90, época que foi tirada da posição de relevância mundial, e agora no Bolsonarismo fascistoide do Brasil, que caminha para o mesmo local de insignificância política. Pereira viu impassível a sociedade na mudança de maré do retrocesso, estamos seguindo o mesmo curso!</t>
  </si>
  <si>
    <t>Arthur Conan Doyle</t>
  </si>
  <si>
    <t>Um Estudo em Vermelho</t>
  </si>
  <si>
    <t>Confesso que é a primeira vez que leio Sherlock Homes e fiquei positivamente surpreendido. Grande capacidade de entreter e, apesar das miraculosas suposições, faz sentido no universo criado.</t>
  </si>
  <si>
    <t>Mistérios Perdidos</t>
  </si>
  <si>
    <t>Os contos são divertidos, viciantes, levemente inocentes e brilhantes. As múmias são divertidas, mas o ouro mesmo está em Château Noir!</t>
  </si>
  <si>
    <t>O Código da Inteligência</t>
  </si>
  <si>
    <t>Vejo este livro mais como um manual. Uma ajuda para entendermos o funcionamento de nossa inteligência e fornece auxílio para maximiza o seu uso. E realmente provê boas dicas, no entanto as acho um pouco obvias. Também me confundo, pois me parece que a inteligência descrita nesse livro é uma instrução de ética.</t>
  </si>
  <si>
    <t>É um absurdo que uma organização milenar não seja respeitada e não creditada pelo simples fato de continuar existindo por seus méritos e resistindo e melhorando com seus erros. Cada fato da história desde a queda de Roma a queda das Torres Gêmeas a igreja foi fundamental ao amparo de necessitados, ao incentivo a ciência e a arte, tudo isso de forma muito racional, paradoxalmente aos discursos dos críticos. E por estar presente na sociedade Ocidental e por tanto tempo o único alicerce é evidente que parte de que somos, inseridos nessa sociedade, seja fruto do trabalho da Igreja e de quem a faz. Deveríamos ser gratos, não contrários, mas mais uma vez a Igreja Católica passará por esta turbulência, como muitas que já passou desde a invasão dos povos chamados bárbaros, ao cisma do oriente e ao protestantismo, por ser gigante em história, nobre em atitude e fiel a sua filosofia Cristã. Minha unica crítica ao livro é colocar a Igreja como a unica opção de salvação para a sociedade, creditá-la é valida, mas excluir as novas formas de pensamentos filosóficos, muitos do quais fundidos ao pensamento da igreja em seus primórdios, é um erro.</t>
  </si>
  <si>
    <t>Aurélio M. G. de Abreu</t>
  </si>
  <si>
    <t>Civilização que o Mundo Esqueceu</t>
  </si>
  <si>
    <t>Fiquei revoltado com o eurocentrismo, racismo e com a tendência a induzir ao sobrenatural do livro que tem o caráter primário de fornecer informação. Mesmo sabendo que não é completamente atual sua literatura é condenável.</t>
  </si>
  <si>
    <t>Mario Puzo</t>
  </si>
  <si>
    <t>O Poderoso Chefão</t>
  </si>
  <si>
    <t>Ayòbámi Adébáyò</t>
  </si>
  <si>
    <t>Fique Comigo</t>
  </si>
  <si>
    <t>O peso das tradições em uma mulher que queria ser mãe, mas era mais do que isso. Presa em covardia, cultura e deveres, obrigações com todos, exceto consigo própria! Lindo e triste livro!</t>
  </si>
  <si>
    <t>B. Kucinski</t>
  </si>
  <si>
    <t>K.</t>
  </si>
  <si>
    <t>Capítulos pequenas lembranças doloridas de nossos traumas. Como quando tentamos lembrar de algo que nos traumatizou e a lembrança vem como pontadas violentas, curtas e desordenadas, mas ferozes e descontroladas. Uma sucessão de tentativas e arrependimentos. "E se eu fizesse diferente?" sempre nas entrelinhas. Como areia escapa aos dedos do autor qualquer esperança e sobra o inconformismo da incerteza, da incompletude.</t>
  </si>
  <si>
    <t>Bahiyyih Nakhjavani</t>
  </si>
  <si>
    <t>O Alforge</t>
  </si>
  <si>
    <t>O alforje como um enviado de Deus muda a vida e a perspectiva sobre ela de todos os personagens que a encontram. O encontro com o sagrado pode ser cruel, porém sempre transformador.</t>
  </si>
  <si>
    <t>Balli Kaur Jaswal</t>
  </si>
  <si>
    <t>Escola de Contos Eróticos para Viúvas</t>
  </si>
  <si>
    <t>Romance de crescimento e maturidade. De representatividade e liberdade. O empoderamento de enfrentar um tabu e conquistar a voz, seu espaço, seu sexo.</t>
  </si>
  <si>
    <t>Barbara O’Neal</t>
  </si>
  <si>
    <t>Quando Acreditávamos em Sereias</t>
  </si>
  <si>
    <t>Uma relação fraternal é sempre complexa. Repleta de memórias, momentos bons e ruins, amores compartilhados, sofrimentos compartilhados, mas cada um sob sua ótica. Kit e Josie personifica bem isso, as mesmas experiências sofridas gerando traumas e memórias individuais. Esse é o maior trunfo de O'Neal em seu romance. O paralelo do desmoronamento da vida com Josie também é muito forte. A lenda degradação, o abandono até a ruptura completa levando a ações e consequência auto-destrutivas que beira ao suicídio, como Dylan, levando a assumir a morte como ponta pé inicial de recomeço. Já Kit é isolada de todas e reage reforçando o isolamento, construindo alicerces ainda mais rígidos para que não desmoronasse novamente. O ponto-fraco é Javier, personagem unidimensional.</t>
  </si>
  <si>
    <t>Nova York</t>
  </si>
  <si>
    <t>Bem Lerner</t>
  </si>
  <si>
    <t>Estação Atocha</t>
  </si>
  <si>
    <t>Máfia</t>
  </si>
  <si>
    <t>De certa forma, todos somos o Adam. Narcisista, vendo todos em volta na nossa ótica de experiência. Todos somos estrangeiros, mentes estrangeiras tentando traduzir outras mentes por meios de palavras em diálogos, entendo em parte a linguagem e em parte a partir de nossas próprias experiências. E a síndrome do impostor é real e é um forte fator de drogas medicamentosas ou não.</t>
  </si>
  <si>
    <t>O Rei do Inverno</t>
  </si>
  <si>
    <t>A capacidade de Bernard Conwell de recriar paisagens e cenários em sua preferida Inglaterra é fantástica. Nos envolve com histórias já conhecidas, mas com antigos personagens agora possíveis vivendo situações fantásticas que o leva a acertos e erros. É uma literatura masculina por excelência, mas não desvalorizando as mulheres.</t>
  </si>
  <si>
    <t>O Inimigo de Deus</t>
  </si>
  <si>
    <t>Nada adianta quando tudo que planejamos vai contrário aos deuses e tudo é resolvido quando os deuses estão de acordo. Nesse segundo volume de As Crônicas de Arthur é Deus ou os deuses os principais personagens. Texto gratificante e história envolvente que desperta raiva, curiosidade e interesse.</t>
  </si>
  <si>
    <t>Excalïbur</t>
  </si>
  <si>
    <t>Conclusão fantástica e misteriosa da famigerada história do Arthur. Nesse ultimo livro a magia é presente e verdadeira, Guinevere finalmente ascende como aos olhos de Arthur, Merlin revive os antigos mistérios pagando seu preço, Nimue inverte a lógica da razão e Arthur é simplesmente levado. Sensacional.</t>
  </si>
  <si>
    <t>J. R. R. Tolkien &amp; Christopher Tolkien</t>
  </si>
  <si>
    <t>O Último Reino</t>
  </si>
  <si>
    <t>Silmarillion</t>
  </si>
  <si>
    <t>Um excelente mergulho verossímil em uma história medieval. O personagem esmagado entre a gigante invasão pagã e uma acuada Inglaterra sustentada por bispos. A liberdade perigosa os atacantes e a dureza defensiva dos cristãos. Onde as decisões são influenciadas por deuses e o destino definido pelas fiandeiras.</t>
  </si>
  <si>
    <t>O Cavaleiro da Morte</t>
  </si>
  <si>
    <t>Uma história de um jovem adulto tolo, arrogante e sonhador preso ao seu senhor detestável por um vínculo nobre. Nesse pântano o guerreiro amadurece.</t>
  </si>
  <si>
    <t>Os Senhores do Norte</t>
  </si>
  <si>
    <t>A saga de Urick está cada vez mais atrelado ao sucesso da Inglaterra de Alfredo e preso ao pertinente (talvez até forçado) destino das três fiandeiras.</t>
  </si>
  <si>
    <t>A Canção da Espada</t>
  </si>
  <si>
    <t>1ª, 2ª, 3ª Era</t>
  </si>
  <si>
    <t>A saga de Urick continua entrelaçada com a saga de um sonhado reino da Inglaterra. Nesse quarto volume o peso do protagonismo pesou um pouco. Além disso, importantes personagens foram subutilizados como Gisela. A relação de Aethelflaed e Erick não foi trabalhando ao ponto de se tornar orgânica. E até mesmo Alfredo perdeu um pouco de sua complexidade. No entanto, esses detalhes não maculam a obra repleta de emoção.</t>
  </si>
  <si>
    <t>Terra em Chamas</t>
  </si>
  <si>
    <t>A saga de Urick está presa em um vórtice. Seu enredo sempre volta para seus triunfos em expulsar os dinamarqueses e o prendendo ao rei Alfredo. No entanto, existe um guinada para seu amadurecimento com sua relação mais próxima com Aethelflaed e o melhor aproveitamento de Skade e Eduardo.</t>
  </si>
  <si>
    <t>Brenda Navarro</t>
  </si>
  <si>
    <t>Casas Vazias</t>
  </si>
  <si>
    <t>O ser mãe é o pilar estrutural da maior parte da misogenia na sociedade. A maldição de gerar, parir e ter que criar, sacrifício imposto sem amparo. As mulheres desse romance foram amaldiçoadas pela maternidade, perderam tudo gradativamente que tiveram seus filhos, mesmo que este filho não estando mais presente. A casa vazia do coração, a casa vazia do lar, a casa vazia da mente. Principalmente por ser um caso de filho autista que pode ser um potencializador da perda da rede de apoio. Fiquei ainda mais tocado nas notícias dessa semana onde uma mãe faleceu e seu filho autista ficou mais de uma semana sozinho com ela até ser descoberta. A casa vazia nos jornais.</t>
  </si>
  <si>
    <t>Brendan Slocumb</t>
  </si>
  <si>
    <t>Fernando Sabino</t>
  </si>
  <si>
    <t>A Conspiração do Violino</t>
  </si>
  <si>
    <t>Slocumb escreve uma história híbrida, quase autobiográfico, sobre a jornada de um músico negro na arte clássica e, em meio a isso, um crime. Em relação a história de formação, as agruras passadas pelo personagem são terríveis e extremamente importantes de serem debatidas, mas o ritmo e a forma de contá-las eu achei um pouco piegas. No entanto, descreve música e musicalidade de uma forma linda, realmente incrível. Quanto ao mistério, não havia muito disso. Achei que estava bem na cara o culpado, mas achei interessante o estopim da descoberta.</t>
  </si>
  <si>
    <t>Brianna Labuskes</t>
  </si>
  <si>
    <t>A Bibliotecária dos Livos Queimados</t>
  </si>
  <si>
    <t>É impossível terminar o livro e não fazer paralelos ao crescimento da extrema direita e as mesmas estratégias de causar medo e controle nazista, também não ligar a invasão genocida de Israel na Palestina e a resposta terrorista do Hamas deixando os palestinos em meio a violento fogo cruzado. Dito isso, apesar de bons personagens, achei o livro gordo. Muitas passagens poderiam ser suprimidas para tornar a história mais objetiva ou, pelo menos, menos cansativa.</t>
  </si>
  <si>
    <t>Brock Yates</t>
  </si>
  <si>
    <t>Ferrari - O Homem por trás das máquinas</t>
  </si>
  <si>
    <t>O típico gênio genioso que passa por cima de tudo e de todos, ególatra calculista, base dura e calcada do imenso sucesso automotivo.</t>
  </si>
  <si>
    <t>Buchi Emecheta</t>
  </si>
  <si>
    <t>As Alegrias da Maternidade</t>
  </si>
  <si>
    <t>Camila Sosa Villada</t>
  </si>
  <si>
    <t>O Parque das Irmãs Maravilhosas</t>
  </si>
  <si>
    <t>Com escrita rápida, de corte profundo e extremamente sincero Camila conta a história daquelas que são sistematicamente atacadas e excluídas. Aquelas que representam os desejos mais ardentes e os pecados inconfessos da cínica sociedade que por não conseguir se conter as atacam. A magia do realismo fantástico do texto é a pura poesia de sobreviver apesar do desejo de que morressem. Suas existências e sobrevivências são milagres ainda mais mágicos que lobiscates e aves-meninas-mudas.</t>
  </si>
  <si>
    <t>Carlos Heitor Cony</t>
  </si>
  <si>
    <t>Quase Memória</t>
  </si>
  <si>
    <t>Como resgate de lembranças o autor nos faz devagar na intimidade de sua memória em um fluxo inconsciente de memórias, ficção ou um misto dos dois. O irreal mistura-se ao real, pequenas coisas se tornam grandes e grandes coisas esquecidas. Termino o livro encanto pelo pai e conhecendo de perto o filho que expôs todos os tijolos de sua construção. A caixa não foi aberta, mas o conteúdo nos foi revelado.</t>
  </si>
  <si>
    <t>Carmen Laforet</t>
  </si>
  <si>
    <t>Nada</t>
  </si>
  <si>
    <t>Várias faces da decadência! Desde a submissão até a loucura... Violência e silêncio!</t>
  </si>
  <si>
    <t>Carol Bensimon</t>
  </si>
  <si>
    <t>Todos Nós Adorávamos Caubóis</t>
  </si>
  <si>
    <t>Uma viagem para fugir dos problemas atuais e confrontar questões antigas. O amor pode durar anos, resistir a distância e romper em instantes, pode retornar ainda mais forte ou mais fraco do que nunca, as vezes vai embora para sempre e as vezes volta diferente.</t>
  </si>
  <si>
    <t>Carola Saavedra</t>
  </si>
  <si>
    <t>Com Armas Sonolentas</t>
  </si>
  <si>
    <t>O quanto do nosso destino temos controle? Vivemos de acordo com a nossa vontade ou vivemos como sonhamos, seguindo uma rota incontrolável de acontecimentos sem o menor controle como expectadores do destino. Somos o que queremos, o que nós construímos ou apenas somos o que somos? Carola aborda sobre controle e sobre destino. Sobre prisões impostas e falsas liberdades, principalmente dentro da vivência da mulher que já habitam um mundo onde o controle pertence a homens.</t>
  </si>
  <si>
    <t>Caroline Bernard</t>
  </si>
  <si>
    <t>Frida Kahlo e as cores da vida</t>
  </si>
  <si>
    <t>Frida foi pintada com cores fracas, opacas. Sua complexidade tanto artística como imagéticas foram dissolvidas em um texto morno que a compôs como um menina boba apaixonada. Cadê a ousadia? Sua bissexualidade foi tratada de forma rasa, como todos os outros componentes de sua história.</t>
  </si>
  <si>
    <t>Carson McCullers</t>
  </si>
  <si>
    <t>O Coração É um Caçador Solitário</t>
  </si>
  <si>
    <t>A necessidade de comunicação e a solidão é explorado de forma incrível. A divinização daqueles que ouvem sem questionar e sem julgar a perda disso levam os personagens aos seus derradeiros fins.</t>
  </si>
  <si>
    <t>Casey McQuiston</t>
  </si>
  <si>
    <t>Última Parada</t>
  </si>
  <si>
    <t>Ainda a imensa importância do texto inclusivo à comunidade LGBTQIA+ e de personagens não brancos, o grande mérito do livro e a levíssima e carismática história de amor. O amor é universal por sua natureza e a construção dessa relação, seja essa romântica ou seja ela de amizade, torna o livro completamente identificável e imersível. E como dito no livreto da TAG, personagens incrivelmente reais, todos potenciais protagonistas de suas histórias.</t>
  </si>
  <si>
    <t>Charlotte McConaghy</t>
  </si>
  <si>
    <t>Migrações</t>
  </si>
  <si>
    <t>Franny sente o mundo, sente o instinto de andar, desbravar e conhecer. Sente os seres vivos de seu entorno, sobretudo as aves. Instintiva e conectada ao planeta precisa migrar, como os primeiros homens a sair da África e colonizar as demais terra. Por sentir precisa proteger, cuidar, conhecer, viver e morrer por ela. A obstinação cega nada mais é a força motriz de sua missão, a força necessária para fazer-nos transpor todas as barreiras de terra, montanhas ou água. Migrante por natureza. Mas um ser móvel não é mais apto a esse mundo e o amor que cria com Niall é coberto de remorso e medo. Um amor profundo e sincero, mas não amarra e, livre, vive conforme seu instinto, vive em movimento. Mas o mundo está morrendo, os homens estão o destruindo e ela, meio homem e meio mundo, também se destrói e destrói quem está a sua volta.</t>
  </si>
  <si>
    <t>Chimamanda Ngozi Adichie</t>
  </si>
  <si>
    <t>No Seu Pescoço</t>
  </si>
  <si>
    <t>Um retrato de tantas vidas</t>
  </si>
  <si>
    <t>A Contagem dos Sonhos</t>
  </si>
  <si>
    <t>Chimamanda conta a África personificado em suas mulheres. Elas em diferentes perfis. Podem ser soltas e empoderadas, mas presa a idias românticos inalcançáveis. Podem ser fortes e de sucesso, mas corrompidas mesmo fazendo o certo. Podem estar longe, mas preso em tradições antigas. Estarem perto, mas com coragem o suficiente para mudar. Uma África plural, contraditória, que foge dos esteriótipos, sem apagar o africanismo inerente. Grande obra.</t>
  </si>
  <si>
    <t>Chinua Achebe</t>
  </si>
  <si>
    <t>O Mundo se Despedaça</t>
  </si>
  <si>
    <t>Barbarismo de povos isolados provoca uma cultura de violência e machismo. E a violenta dominação de uma cultura arrogante e estrangeira pode provocar ainda mais mortes em um cenário já violento.</t>
  </si>
  <si>
    <t>Christina Baker Kline</t>
  </si>
  <si>
    <t>Exílio</t>
  </si>
  <si>
    <t>Costumo desencantar fácil de histórias com vilões e mocinhos bem definidos. Esse dualismo planifica dimensões importantes da natureza humana e não foi muito diferente com essa história. Assim como os exageros de desgraças e bonanças que, ao invés de chocar, dilui a emoção em dores sem profundidade psicológico. No entanto, deixando pra lá o boníssimo caráter dos bonzinhos (principalmente Dunne e Evangeline que beira ao sacerdócio), e as maldades de Buck, fiquei positivamente surpreso com a mudança de protagonismo, me pegou desprevenido. Também gostei do tema, a colonização australiana por exilados e o ponto de vista feminino, grupo mais que silenciado, principalmente nesses períodos. Apesar que um bom tem anão sustenta uma boa história e, muitas vezes, o que aconteceu aqui, me passa uma sensação de desperdício de enredo com uma história fraca.</t>
  </si>
  <si>
    <t>Chuck Palahniuk</t>
  </si>
  <si>
    <t>O Clube da Luta</t>
  </si>
  <si>
    <t>Auto-destrutivo, melancólico, sem perspectiva é niilista. Grunge por essência!</t>
  </si>
  <si>
    <t>Clube da Luta 2</t>
  </si>
  <si>
    <t>Uma pena que a expectativa que criei matou a história para mim.</t>
  </si>
  <si>
    <t>Clara Dupont-Monod</t>
  </si>
  <si>
    <t>Se Adaptar</t>
  </si>
  <si>
    <t>A criança vem inapta, sem força e sem voz. Mas, em toda fragilidade, foi um terremoto transformador. O mais velho foi completamente tragado e sobrepujado. A do meio repelida e lançada ao longe. Os pais viveram em seus escombros. E o ultimo a mercê do que restara. Não havia culpa, ele não pediu para ser um terremoto. Não havia correntes, a não ser o amor e a empatia. Mas são essas as forças familiares e as que levam a adaptação e crescimento, para aqueles que tiveram a oportunidade de crescer.</t>
  </si>
  <si>
    <t>Colson Whitehead</t>
  </si>
  <si>
    <t>The Underground Railroad: Os Caminhos para a Liberdade</t>
  </si>
  <si>
    <t>A fantástica libertação por meio da ferrovia subterrânea é sempre escura, imprevisível e nunca definitiva. História poderosa sobre fuga e carregado do que o homem tem de mais cruel... Fundamental!</t>
  </si>
  <si>
    <t>Cynthia Swanson</t>
  </si>
  <si>
    <t>A Vendedora de Livros</t>
  </si>
  <si>
    <t>Da Chen</t>
  </si>
  <si>
    <t>A Montanha e o Rio</t>
  </si>
  <si>
    <t>Roamnace com grande de ar de conto de fadas. Uma história que acompanha a sempre mítica história de China na ótica de três personagens coberta de fantasia. Shento é a montanha que ascende commoral estática resistindo a tudo. Também o rio que se move com suavidade ou força se adaptando. E Sumi o mar que o rio sempre anseia e a montanha tanto ama.</t>
  </si>
  <si>
    <t>O Símbolo Perdido</t>
  </si>
  <si>
    <t>Mais uma vez Dan Brown acerta em suas histórias de suspense e inteligência. São poucas as vezes que torço tanto para um nerd e tento, sem nunca conseguir, adivinhar e solucionar as pistas de cada mistério. Mais uma vez há um vilão assustador, este mais do que os outros, mas falha em escolher a cidade, ainda não consigo equiparar Washington DC com Paris ou Roma. No entanto, a escolha do tema maçonaria, que me traz tantas curiosidades, foi um acerto devido ao seu simbolismo e seus fundamentos. Acredito que este livro é o mais profundo de todos por abordar questões filosóficas de quem é Deus ou mesmo se Ele existe usando controversa ciência da noética. Portanto, para mim, não é o melhor enredo, mais apresenta uma ação, após a 2ª metade do livro, vibrante e aborda questões mais fundamentais.</t>
  </si>
  <si>
    <t>Mais um capítulo de Robert Longdon salvando a humanidade. Agora seguindo pistas de dante no inferno medieval passando por Florença, Veneza e Istambul. Longdon está ficando mais chato com o tempo, mas ponto para a personagem de Sienna, que conseguiu ser atrativa, misteriosa e inteligente.</t>
  </si>
  <si>
    <t>Dany Laferrière</t>
  </si>
  <si>
    <t>País sem Chapéu</t>
  </si>
  <si>
    <t>Laferrière, personagem e auto retorna ao Haiti e descreve o que é estar de volta, pertencer, reconhecer e revisitar. O texto ágil, soltos, como pensamentos em estar confortável, sem pensar demais no que fazer ou como se comportar, o pensamento de apenas estar sendo. Em casa ele (re)visita sua vida e seu cotidiano, abraça a cultura que não saiu dele, mas que agora o cobre. Ele deixou claro que saiu do Haiti por não conseguir ficar, mas que ao retornar percebeu o quanto de Haiti havia nele, fazia parte do seu ser. Voltar para casa é como voltar a si mesmo. País do mortos, da fome e das tragédia, mas também país do encanto, da noite e do sobreviver. Magia que permeia essa sobrevivência, desde não morrer alvo da violência (bem familiar a nós) ou seja por viver eternamente no país sem chapéu.</t>
  </si>
  <si>
    <t>David Foenkinos</t>
  </si>
  <si>
    <t>O Mistério de Henri Pick</t>
  </si>
  <si>
    <t>O mais puro e precioso senso de humor. Desfile de sarcasmo, desgraças e a humanidade mais verdadeira, repleta de defeitos e esperanças vãs. Mergulhamos em sonhos e fracassos, contemplamos as tentativas dos personagens se segurarem nas mais absurdas âncoras. Rimos da pequenez do que nos faz reais. Brilhante!</t>
  </si>
  <si>
    <t>David Gibbins</t>
  </si>
  <si>
    <t>Atlantis</t>
  </si>
  <si>
    <t>A história perde um excelente gancho histórico-ficcional em detalhamentos técnicos de tecnologia e nas extraordinárias habilidade (Indiana Jones + Rambo) do protagonista.</t>
  </si>
  <si>
    <t>David Grossman</t>
  </si>
  <si>
    <t>Alguém para correr comigo</t>
  </si>
  <si>
    <t>Emocionante e fantástica jornada de encontro e descoberta, lideradas por uma carismática cadela. Os personagens precisaram se perder para se encontrarem. Complementares, polos opostos unidos por Dinka. Dois universos que finalmente colidem.</t>
  </si>
  <si>
    <t>David Quammen</t>
  </si>
  <si>
    <t xml:space="preserve">The Flight of the Iguana </t>
  </si>
  <si>
    <t>Anedotas científicas comentadas, mergulhos em lembranças e metáforas pouco sutis. Gostei muito da primeira metade, já a segunda me cansou, momento em que o texto passe a ser mais pessoal e levemente soberbo.</t>
  </si>
  <si>
    <t>O Canto do Dodo</t>
  </si>
  <si>
    <t>Fundamental na vida de um biólogo. A narrativa científica chega a ficar emocionante em algumas partes, mas, em outras, repetitivas. Indico a todos, pois possui uma imensa força no conhecer e entender a evolução e a conservação.</t>
  </si>
  <si>
    <t>Débora Thomé</t>
  </si>
  <si>
    <t>30 Artistas LGBTQ+</t>
  </si>
  <si>
    <t>Denny S. Bryce</t>
  </si>
  <si>
    <t>A Outra Princesa</t>
  </si>
  <si>
    <t>Fiquei feliz em conhecer a figura de Sarah Forber Bonetta, mas não gostei da forma que foi contado. Bryce na tentativa de emular Jane Austin fez um texto que achei canastrão, de grande superficialidade que dissolve a grandiosa vida da personagem real em um folhetim abobalhado. Um ponto positivo foi apresentar o machismo e o racimo daquele tempo (que perdura até hoje), mas só isso.</t>
  </si>
  <si>
    <t>Dino Buzzati</t>
  </si>
  <si>
    <t>O Deserto dos Tártaros</t>
  </si>
  <si>
    <t>Desolador.... O tempo é uma estrada que não leva a lugar nenhum... Perseguição a fantasmas!</t>
  </si>
  <si>
    <t>Domenico Starnone</t>
  </si>
  <si>
    <t>Línguas</t>
  </si>
  <si>
    <t>Belíssima homenagem a avô. O texto, como ela, é voltado ao passado, curto e curvado, repleto de dialetos a atenção. Outro tema é a morte, no caso, a morte do dialeto. E, em busca da menina morta Domenico remete a busca por esse linguajar moribundo.</t>
  </si>
  <si>
    <t>Donatella di Pletrantonio</t>
  </si>
  <si>
    <t>A Retornada</t>
  </si>
  <si>
    <t>O abandono sem explicação, a auto-descoberta e a descoberta de sua família, adaptar-se a pobreza e aos novos irmãos e pais. Delicada e intensa história de uma protagonista sem nome que se descobre ao perder-se.</t>
  </si>
  <si>
    <t>Douglas Adams</t>
  </si>
  <si>
    <t>O Guia do Mochileiro das Galáxias</t>
  </si>
  <si>
    <t>Humor rápido e veloz, non-sense, irônico e de muitíssimo bom gosto. Define a humanidade usando referências absurdamente simples para apontar nossas falhas de caráter, inteligência e percepção. No final das contas, todos os seres vivos possuem algo de humano.</t>
  </si>
  <si>
    <t>E. L. Doctorow</t>
  </si>
  <si>
    <t>Ragtime</t>
  </si>
  <si>
    <t>O começo do século foi cantado em ritmo alternado de lento para rápido. Personagens reais ficcionados revelando precisamente a dimensão de um tempo onde o preconceito, sexismo e o direitos dos trabalhadores eram vistos como errado em uma "inocente" época. O mágico lutou contra o charlatanismo e a anarquista, o negro e o jovem contra toda uma classe opressora. E realmente senti pouco de falta de ragtime.</t>
  </si>
  <si>
    <t>Edith Wharton</t>
  </si>
  <si>
    <t>A Era da inocência</t>
  </si>
  <si>
    <t>Debocha e revela o provincianismo americano, não só novaiorquino. Esse tipo de provincianismo vemos até hoje em vários locais da América, fruto da colonização e o desejo herdado de se transformar em um pastiche da sociedade colonizadora. Esta, já diferente, vira sinônimo de transgressão. Ainda, a mulher, presa as maiores amarras, se revelam um animal social mais apto, precisando sobreviver em meios amordaçantes.</t>
  </si>
  <si>
    <t>Édouard Louis</t>
  </si>
  <si>
    <t>O Desabamento</t>
  </si>
  <si>
    <t>Profundo mergulho nas profundezas de Luis. De seu imenso eu podemos notar a complexidade das relações de violência, raízes e frutos. Olhando para si e ele olha para os demais, como um grande espelho que vê refletido a sua versão de seus parentes, com um pouco de culpa, claro, mas fiel a memória. Quando lembramos criamos um personagem, uma versão de qualquer coisa e o autor não tem medo de usar isso.</t>
  </si>
  <si>
    <t>Eduardo Spohr</t>
  </si>
  <si>
    <t>A Batalha do Apocalipse</t>
  </si>
  <si>
    <t>Ainda atordoado com a dimensão da obra. Um compêndio da história ocidental descrita em termos bíblicos. Batalhas, ideologias, e o jogo dos encontros e desencontros plenamente arquitetado pelos grandes arcanjos. A exaltação da humanidade e do amor como obra máxima do iluminado. Personagem mais brilhante: Shamira. Personagem subexplorado: Lúcifer. De crítica apenas um final, para mim, fácil demais!</t>
  </si>
  <si>
    <t>Edwidge Danticat</t>
  </si>
  <si>
    <t>Clara da Luz do Mar</t>
  </si>
  <si>
    <t>Uma roda de ciranda ou um wonn de história intercruzadas que se encontram na derradeira noite em que o livro começa. Personagens como o mar que os cercas, alguns plácidos e profundos, outros revoltados e multicoloridos, nenhum simples, nenhum seguro. Todos eram como ilhas, isolados ou formando pequenos arquipélagos inquietos na tempestade. Brilhante a obra de Danticat.</t>
  </si>
  <si>
    <t>Elena Medel</t>
  </si>
  <si>
    <t>As Maravilhas</t>
  </si>
  <si>
    <t>A precaridade financeira é um obstáculo político. Lutar para sobreviver, trabalho árduo, pouco descanso se torna uma barreira aos acontecimentos político, um muro que impede a percepção que muitos dos problemas financeiros são de origem política. A dinastia da história é marcada por esses problemas, ecos que se repetem nas gerações, vícios de pobreza em ambiente politicamente conturbado. Maré de desgraça e âncora de trabalho árduo. Mas Maria conseguiu enxergar além do padrão e entender os motivos, mesmo que para isso deu as costas a todas. Já Alicia é perdida em própria dor e própria tragédia, continua a trás do muro.</t>
  </si>
  <si>
    <t>Elif Shafak</t>
  </si>
  <si>
    <t>A Ilha das Árvores Perdidas</t>
  </si>
  <si>
    <t>A adaptação é difícil, requer tempos e, muitas vezes, gerações. O precisar se adaptar pode ser um entrave. Ter que ir, fugir, aprender e reaprender a viver. Cultivar vida em solo estranho, preservar vida longe dos seus pode produzir grossas cascas, exterior espinhento para interior fragilizado. O buraco do "de onde eu vim?" é profundo nessa história, principalmente para Ada, isolada de sua própria história. O silêncio que protege também aflige dano.</t>
  </si>
  <si>
    <t>Elyse Durham</t>
  </si>
  <si>
    <t>Maya &amp; Natasha</t>
  </si>
  <si>
    <t xml:space="preserve">Ballet de idas e voltas, amores e ódios. Enquanto as protagonistas brilham nas suas idas e voltas um pouco retumbantes demais os coadjuvantes brilham pouco, como se usassem uma  máscara. </t>
  </si>
  <si>
    <t>Emily Henry</t>
  </si>
  <si>
    <t>Loucos por Livros</t>
  </si>
  <si>
    <t>Subverteu dogmas consolidados do estilo, brincou com o papel dos vilões dessas histórias com doses bem altas de humor. Esperava nada, mas me entregou um livro divertido. As vezes a falta de expectativa ajuda bastante.</t>
  </si>
  <si>
    <t>Emma Straub</t>
  </si>
  <si>
    <t>Somos Todos Adultos</t>
  </si>
  <si>
    <t>A ciranda da capa é reveladora. A vida segue em círculos geracionais de erros cometidos por quem tenta fazer o melhor ou por acertos acidentais. Os adultos agindo como crianças e as crianças sendo as mais maduras nessa circular relação.</t>
  </si>
  <si>
    <t>Emmanuel Carrère</t>
  </si>
  <si>
    <t>Limonov</t>
  </si>
  <si>
    <t>Foi revigorante ler Limonov, uma história nem um pouco pasteurizada pelo politicamente correto. Um personagem real, mas irreal em suas escolhas conturbadas. Um sobrevivente do grande destino que buscava. um miserável vencido, mas orgulhoso de sua trajetória. Não se tornou grande e nem escolheu o "lado bom", mas ainda sim, viveu (e vive) uma grande vida. Como a Rússia cruzou caminhos difíceis, grandiosos e miseráveis. Como a Rússia viveu como se não se importasse com a opinião alheia, mas viveu em satisfazê-la.</t>
  </si>
  <si>
    <t>Erich von Däniken</t>
  </si>
  <si>
    <t>Deuses, Espaçonaves e Terra</t>
  </si>
  <si>
    <t>Desinformação, inverdades, insuficiência técnica perante processos biológicos (grande parte devido a ano de publicação). Para von Däniken, há sempre o caminho mais fácil do espaço.</t>
  </si>
  <si>
    <t>Erin Crosby Eckstine</t>
  </si>
  <si>
    <t>Junie</t>
  </si>
  <si>
    <t>A escravidão foi um dos períodos mais sangrentos e injusto da história recente e transformar a vida de Junie, uma escrava, em um romance gótico com arquétipo de dorama foi, para mim, uma imensa atenuação. Mesmo que o objetivo da autora não seja explorar o sofrimento negro, acredito que esse tom romanesco venda e veda bastante da realidade. Quase ao ponto de parecer aquela velha propaganda sulista de dizer que a escravidão não foi tão "ruim" assim.</t>
  </si>
  <si>
    <t>Evelyn Waugh</t>
  </si>
  <si>
    <t>Retorno a Brideshead</t>
  </si>
  <si>
    <t>Como a ultima luz dos escombros da mansão a religião segue como o único farol que guia os personagens, para o bem ou para o mal.</t>
  </si>
  <si>
    <t>Everard M. Upjohn, Paul S. Wingert, Jane Gaston Mahler</t>
  </si>
  <si>
    <t>Da Pré-História a Grécia Antiga</t>
  </si>
  <si>
    <t>Extremamente didático. Expande a visão de obras artística expandido o significado histórico e atemporal de cada uma.</t>
  </si>
  <si>
    <t>F. Scott Fitzgerald</t>
  </si>
  <si>
    <t>Eu Morreria por Ti e outras histórias</t>
  </si>
  <si>
    <t>Contos com uma atmosfera mágica, ilusões e obsessões causadas por encontros e humores. Contados de forma inocente os não tão inocentes súcubos e íncubos.</t>
  </si>
  <si>
    <t>Para Entender a Inquisição</t>
  </si>
  <si>
    <t>Esclarecedor. Uma revisão de nossos preceitos preconceituosos. Este livro que nos leva de fato a idade medieval e nos coloca diante dos fatos que levaram a criação e a aplicação do Santo Ofício. Entendemos os seus motivos sacros e suas penas hoje e certamente cruelmente vista. No entanto, na ocasião e na visão contextualizada todas estas formas de redenção se tornam corretas aos olhos tanto dos inquisidores quanto dos pecadores. Percebemos que os maiores injustos eram os tribunais civis, que os grandes sedentos de sangue eram a massa que viam as torturas como espetáculos e exemplos. E entendemos que a intenção do tribunal na época foram certas, mas que ela foi lentamente infiltrada pelos monarcas que a usavam para castigar desafetos. E talvez está aí sua maior falha, pois deixou de ser canônica para se tornar terrena.</t>
  </si>
  <si>
    <t>Os Restos Mortais</t>
  </si>
  <si>
    <t>Uma rede de acontecimentos possíveis isoladamente, mas que juntos gera um mistério sobre a morte de um desconhecido que muda de prisma com a revelação de quem ele realmente é. Um texto fascinante de como a realidade pode ser moldada de acordo com as informações que obtivemos e de que uma situação bizarra nos leva a conhecer melhor e valorizar quem nos cerca.</t>
  </si>
  <si>
    <t>Fernando Scheller</t>
  </si>
  <si>
    <t>Gostaria que você estivesse aqui</t>
  </si>
  <si>
    <t>Um Rio familiar foi nos apresentado. Um com cara de novela e de filme. Um pouco limpo e brilhante demais, mas extremamente identificável. Os personagens desse Rio beirava o clichê, não que isso seja coisa ruim. O melhor personagem sequer foi um personagem, mas sim a ausência, a falta.</t>
  </si>
  <si>
    <t>Filipa Fonseca Silva</t>
  </si>
  <si>
    <t>E Se Eu Morrer Amanhã</t>
  </si>
  <si>
    <t>Fascinante, bem humorado e repleto de esperança. O fim da vida não é ultimato de aventuras e o envelhecimento não é promessa de retidão.</t>
  </si>
  <si>
    <t>Flannery O’Connor</t>
  </si>
  <si>
    <t>Um Homem Bom É Difícil de Encontrar</t>
  </si>
  <si>
    <t>Flannery O'Connor revelou o interior do americano médio, racista, ignorante, fervorosamente religioso, um red neck soberbo e semi-analfabeto que se sente melhor sendo pior em relação ao que lhe são diferentes. Lendo essa obra não me espanta terem eleito o Trump!</t>
  </si>
  <si>
    <t>Florence Knapp</t>
  </si>
  <si>
    <t>Os Nomes</t>
  </si>
  <si>
    <t>O efeito borboleta descrito com lindos paralalismos. O quanto de nossa vivência é consequencia? O quanto dessas consequencias são de atitudes nossas? Qual o preço de se doar pelo outros e, esse sacrifício, é realmente só pessoal ou compartilhadas por aqueles que não puderam escolher. Muitas questões levantadas com beleza, sofrimento e humanidade.</t>
  </si>
  <si>
    <t>Franklin Foer</t>
  </si>
  <si>
    <t>Como o Futebol Explica o Mundo</t>
  </si>
  <si>
    <t>Parece tão obvio o título do livro após lido e tão impossível antes de lê-lo. Esquecemos que o esporte é um termômetro social, um símbolo em que nós nos identificamos e identificamos a sociedade. A inteligência do texto e o óbvio velada torna este livro um dos mais fascinantes tantos em termos de esporte quanto em termo sociais. Li e recomendo.</t>
  </si>
  <si>
    <t>Franz Kafk</t>
  </si>
  <si>
    <t>Uma travessia por perturbações: vinte contos</t>
  </si>
  <si>
    <t>Kafka desnuda o homem de quase tudo, restando apenas seus temores. O trata como um pavão de penas arrancadas que, em suas faltas e perdas, revela a mais humana das almas. Mesmo os animais são extremamente humanos.</t>
  </si>
  <si>
    <t>Freida McFadden</t>
  </si>
  <si>
    <t>O Namorado</t>
  </si>
  <si>
    <t>Caí como um patinho em cada dica falsa. Freida brinca com o leitor, insinua conclusões, mascara realidades, brinca com nossa percepção. Fio feito de besta e fui feliz.</t>
  </si>
  <si>
    <t>Friedrich Dürrenmatt</t>
  </si>
  <si>
    <t>A Promessa/A Pane</t>
  </si>
  <si>
    <t>Tanto crime de "A Promessa" quanto o julgamento de "A Pane" prendem o leitor ao livro tornado-o seleciono para ser devorado (assim como o banquete da última história). Também existe uma similaridade entre as histórias a respeito do nível de devoção que os personagens possuem em suas profissões, seja como o investigador ou como juristas.</t>
  </si>
  <si>
    <t>Friedrich Nietzsche</t>
  </si>
  <si>
    <t>O Anticristo</t>
  </si>
  <si>
    <t>O filósofo ataca todo o cristianismo, taxando de mentira e que cultua a submissão e a desvalorização da vida. Credita sua mensagem como uma mentira, uma derivação falsificado do único cristão, o próprio Jesus Cristo, que morreu na cruz e levou com ela o verdadeiro paradigma de sua mensagem. Tudo o que veio depois foi deturpado e usado como ferramenta para os páreas tomarem o poder. Corajosa e sensata a visão.</t>
  </si>
  <si>
    <t>Friedrich Schiller</t>
  </si>
  <si>
    <t>Maria Stuart</t>
  </si>
  <si>
    <t>Heroína assassina e magnânima em sua posição de culpada. Vilã ardilosa, insegura e sensível. Diálogos precisos, sutis, não épico, mas discreto, deixando a subtender parte preciosa da história. Absolutamente necessário.</t>
  </si>
  <si>
    <t>Gabriel García Márquez</t>
  </si>
  <si>
    <t>Amor nos Tempos do Cólera</t>
  </si>
  <si>
    <t>Do amor e outros demônios</t>
  </si>
  <si>
    <t>Afinal, o demônios estão no amor. Um amor vindo do abandono e no colhimento dos negros. Amor a uma tradição não herdada, mas recebida. O demônio está no amor a tradições e no medo do desconhecido. Está na incompreensão e no desejo. Está no prender e podar, ao invés de libertar.</t>
  </si>
  <si>
    <t>Gayl Jones</t>
  </si>
  <si>
    <t>Corregidora</t>
  </si>
  <si>
    <t>Um sofrimento geracional, máculas de uma sociedade injusta com os negros, mas especialmente cruel com mulheres negras. Como construir dignidade com tijolos de abusos? Com ser livre presos em histórias de escravidão? O abuso permeia tudo e desse sofrimento que floresce o blues.</t>
  </si>
  <si>
    <t>George R. R. Martin</t>
  </si>
  <si>
    <t>A Guerra dos Tronos</t>
  </si>
  <si>
    <t>Esplêndido, história movimentada contada em vários pontos de vista. Complexidade política e geográfica que nos transporta a uma quase realidade medieval. Os personagens inúmeros são bem definidos, alguns de profundidade emocional outras caricatos, mas sem perder o esplendor. Li, lerei os outros e apesar do grande número de página acharei pouco, algo apenas sentido por mim em "O Senhor dos Anéis". Recomendado a todos que gostam de uma boa história, fantasia ou ambos.</t>
  </si>
  <si>
    <t>A Fúria dos Reis</t>
  </si>
  <si>
    <t>A impressão que tive quando lia "A Fúria dos Reis" era que o livro seria previsível, mas fui deliciosamente enganado. George R. R. Martin brincou com minhas expectativas, aumentou os personagens que gostava dando-lhes facetas novas e interessantes. Ainda aumentou Westeros e as terras livres, apresentou povos e monstros e lançou feitiços e magias inesquecíveis. Mas o mais brilhante, para mim, são suas personagens femininas tão possíveis e impossíveis ao mesmo tempo, são mães, esposas, irmãs, amantes e guerreiras. A fúria não foi apenas dos reis, mas principalmente delas.</t>
  </si>
  <si>
    <t>A Tormenta das Espadas</t>
  </si>
  <si>
    <t>A capacidade de George R. R. Matin de surpreender é simplesmente surpreendente. Mais uma vez a disputa dos tronos se tornou imprevisível, com personagens antes espertos se tornando tolos, tolos em espertos, maquinações ainda mais intrincadas. A síntese do livro veio das falas de Mindinho: "Em Porto Real, há dois tipos de pessoas. Os jogadores e as peças... Todos os homens começam sendo peças, e todas as donzelas também. Mesmo alguns que acham que são jogadores." Brilhante, viciante, grande, mas incrivelmente pequeno.</t>
  </si>
  <si>
    <t>O Festim dos Corvos</t>
  </si>
  <si>
    <t>Essencialmente político e sutil. E começam a cair os alicerces tão maquiavelicamente construídos. Digno de nota o crescimento do clero e suas influências abrindo escopo para grandes acontecimentos.</t>
  </si>
  <si>
    <t>A Dança dos Dragões</t>
  </si>
  <si>
    <t>Finalmente os mundos começam a se chocar! Personagem isolados se encontram dando finalmente um rumo para algumas pontas soltas do enredo. Nesse livro mostrou-se a força de Tyrion (principalmente enquanto adaptação) e a fraqueza de Daenerys (em sua misericórdia) aumentando em muito o viés de cada personagem. A mística/magia também nunca esteve tão presente e tão influente.</t>
  </si>
  <si>
    <t>Gillian McAllister</t>
  </si>
  <si>
    <t>Lugar errado, hora errada</t>
  </si>
  <si>
    <t>Criativa premissa de viagem no tempo na resolução de um crime, ainda mais com o detetive sendo uma mãe. A construção dos elementos e símbolos foram cuidadosos, principalmente em relação a Kelly, fio realmente tapeado. Em relação a Clio, era óbvio, mas isso não estragou a experiência.</t>
  </si>
  <si>
    <t>Giuseppe Tomasi di Lampedusa</t>
  </si>
  <si>
    <t>O Leopardo</t>
  </si>
  <si>
    <t>Como o felino título a história percorre um caminho elegante mostrando uma família siciliana aristocrática tentando sobreviver ao fim desse regime. Quieto e introspectivo vê a subida da tosca classe burguesa que vinha para ocupar seu antigo espaço feudal sendo superior demais mesmo para interferir nesse processos em volta. Um predados elegante de uma tempo que não existe mais, um remanescente de uma espécie extinta que vê seu fim velho presos ao supérfluos religiosos.</t>
  </si>
  <si>
    <t>Guillaume Musso</t>
  </si>
  <si>
    <t>A Vida Secreta dos Escritores</t>
  </si>
  <si>
    <t>O autor abusa dos cliques de suspense, mas os subverte todos! Camadas e mais camadas de revelações, verdades provando-se meia-verdades, mentiras ou apenas suposição. Não há limites entre personagem e autor, a ficção se mistura a história, fantástica intercessão metaliguística/metaficção. Autor e personagem se mistura, recria-se, participa e não participa da narrativa a seu bel-prazer. Grande acerto da TAG inéditos!</t>
  </si>
  <si>
    <t>Os Contos de Beedle, O Bardo</t>
  </si>
  <si>
    <t>Gustavo Malajovich</t>
  </si>
  <si>
    <t>O Jardim de Bronze</t>
  </si>
  <si>
    <t>Thriller latino, sabor de fumaça de um noir subtropical, várias referências de artes plásticas e arquitetura. Com essas referência Gustavo Malajovich nara a história do desaparecimento de uma criança em Buenos Aires, local tristemente maculado por desaparecimentos.</t>
  </si>
  <si>
    <t>H.P. Lovecraft</t>
  </si>
  <si>
    <t>O Chamado de Cthulhu e outros contos</t>
  </si>
  <si>
    <t>A atmosfera de investigação, de contar segredos obscuros, de paranoia e loucura faz dessa obra o pai de muitos movimentos de terror que veio depois. Lovecraft diminui o homem a sua mediocridade diante do tamanho do cosmo.</t>
  </si>
  <si>
    <t>Harlan Coben</t>
  </si>
  <si>
    <t>Apenas um Olhar</t>
  </si>
  <si>
    <t>Romance policial de fácil leitura e boa capacidade de te prender no enredo, no entanto, o grande número de personagens mal explorados, a mudança abrupta de inocência a grande detetive da protagonista e um vilão sub-aproveitado diminui consideravelmente a qualidade da obra.</t>
  </si>
  <si>
    <t>Haruki Murakami</t>
  </si>
  <si>
    <t>Sul da Fronteira, Oeste do Sol</t>
  </si>
  <si>
    <t>Um crise de meia idade de um homem egoísta até o tutano. Um amor extremo que fala mais da necessidade dele do que da própria mulher amada. Mulheres possíveis e impossíveis, mesmo irreais. Mulheres gueixas subservientes que gozam por fazer o homem gozar, reflexo cultural claro do Japão. E, meio que apesar e meio que por isso, uma obra magnífica. (Achei bem Manuel Carlos japonês, o que não me incomodou).</t>
  </si>
  <si>
    <t>Hazel Priot</t>
  </si>
  <si>
    <t>Scott Smith</t>
  </si>
  <si>
    <t>As Ruínas</t>
  </si>
  <si>
    <t>Verônica e os pinguins</t>
  </si>
  <si>
    <t>No final, o que fazemos enquanto vivos? O quanto nos é negado ou obrigado? Quanto controle temos do que nos acontece e sobre quem viramos no final de nossa jornada. Hazel me faz pensar sobre esses termos existencialistas em meio aos pinguins e adorei. Recomendo.</t>
  </si>
  <si>
    <t>The Ruins</t>
  </si>
  <si>
    <t>Henry James</t>
  </si>
  <si>
    <t>A Outra Volta do Parafuso</t>
  </si>
  <si>
    <t>Em uma mansão no interior, isolados dos meio externo, isolados mesmo do empregador, cuidar de duas crianças pode ser mais complicado do que parece. O medo poderia levar a alucinação ou realmente havia coisas não explicadas? Poderias as crianças serem tão cândidas no começo, para depois se mostrarem tão terrivelmente manipuladoras? Seria a imaginação uma força tão grade capaz de cobrir toda a realidade com camadas e mais camadas de sonhos? Bom, no meu caso e por hora, acredito que sim, a mente prega peças. A babá cobriu tudo e todos com pinceladas emocionadas, dando a criança camadas e mais camadas de complexidade advindas de sua mente fértil, atribuindo consciências e conhecimentos que passavam apenas dentro de sua cabeça. O terror era real, tudo se basta qu_x0085_</t>
  </si>
  <si>
    <t>Hermann Hesse</t>
  </si>
  <si>
    <t>Knulp</t>
  </si>
  <si>
    <t>Knulp atravessa as converções social, a hipocrisia de uma vida pré-estabelecida e para o preço pela liberdade e solidão.</t>
  </si>
  <si>
    <t>Huberto Rohden</t>
  </si>
  <si>
    <t>Yucatán</t>
  </si>
  <si>
    <t>Mahatma Gandhi</t>
  </si>
  <si>
    <t>Um ser iluminado, daqueles que nascem em períodos determinados para mudar o mundo. Texto bom e belas citações. A autobiografia é um pouco confusa.</t>
  </si>
  <si>
    <t>Asteca</t>
  </si>
  <si>
    <t>Plantas</t>
  </si>
  <si>
    <t>Ian McEwan</t>
  </si>
  <si>
    <t>Na praia</t>
  </si>
  <si>
    <t>De uma inocência tão doce diante da carnalidade do sexo. Os meandros da mente bem explorados nos jovens personagens tão convictos de seus valores de uma forma que só os jovens conseguem ser. Belo livro.</t>
  </si>
  <si>
    <t>A Balada de Adam Henry</t>
  </si>
  <si>
    <t>Polêmicas sobre religião e processos judiciários foi elegantemente tratados na história contada por Ian McEwan. O ritmo rápido permeado pelo desvanear da protagonista em crise trouxe profundidade a juíza. No entanto, os problemas pessoais estavam me lembrando bastantes novelas com enredos em bairros ricos.</t>
  </si>
  <si>
    <t>Paul Hoffman</t>
  </si>
  <si>
    <t>A Mão Esquerda de Deus</t>
  </si>
  <si>
    <t>O Que Podemos Saber</t>
  </si>
  <si>
    <t>McEwan constrói a mente dos personagens como um labirinto complexo de humanidade e, bem no fundo, guarda seu minotauro de maldade e canalhice. Mostra que a ficção não alcança a realidade e que para se criar um mito, basta um boato.</t>
  </si>
  <si>
    <t>Isabel Cañas</t>
  </si>
  <si>
    <t>Suma de Letras</t>
  </si>
  <si>
    <t>Invasores del Norte</t>
  </si>
  <si>
    <t>Apesar da ótima escolha de cenário/período histórico, os personagens beiravam ao insuportável. Texto inchado, repetitivo, fatos narrados duas vezes sem qualquer acréscimo na história. Lutei em cada página e fico triste pela minha (ainda) incapacidade de largar um livro que comecei.</t>
  </si>
  <si>
    <t>Izaias Gomes de Assis</t>
  </si>
  <si>
    <t>Alien e Predador versus Lampião</t>
  </si>
  <si>
    <t>Um marco de criatividade, o verdadeiro dualismo de regionalismo e cultura universal com sabor trash!</t>
  </si>
  <si>
    <t>Mosteiro</t>
  </si>
  <si>
    <t>Nelson Motta</t>
  </si>
  <si>
    <t>Vale Tudo: Tim Maia</t>
  </si>
  <si>
    <t>Um pouco menos impressionante que os demais, mas Tom Riddle é um excelente personagem.</t>
  </si>
  <si>
    <t>Objetiva</t>
  </si>
  <si>
    <t>Tijuca</t>
  </si>
  <si>
    <t>Mary Shelley</t>
  </si>
  <si>
    <t>Frankenstein</t>
  </si>
  <si>
    <t>Contos Inacabados</t>
  </si>
  <si>
    <t>Era Georgiana</t>
  </si>
  <si>
    <t>O magnânimo mundo que apenas Tolkien consegue criar se torna ainda mais amplo e as histórias anda mais intrincadas. É fantástico como as Eras passam, mas que grandes personagens surgem para fazerem sua oposição ou aliança a Morgoth e Sauron, além das raças e sua organização e como isso influência a história da Terra Média. Fantástico, fascinante, imenso em referências e rico e personagens, sem dúvida mais uma obra prima.</t>
  </si>
  <si>
    <t>Silésia</t>
  </si>
  <si>
    <t>Vida/Matéria</t>
  </si>
  <si>
    <t>Os Filhos de Húrin</t>
  </si>
  <si>
    <t>Em algum momento o escritor menos autobiográfico acaba cedendo. Elisabeth Costello é Coetze. É que as crenças fixas são danosas ao romancista, porque o tempo passa. Algumas conversações interessantes sobre literatura, de Molly Bloom a Anna Karenina – ou estamos aqui falando de outra coisa? Também um macaco que poderá, se discursar, entrar para a sociedade. Dostoievski carecia de tanta imaginação ou ironia ou o que seja; nunca precisou, porque nem escrevia tão bem assim, é o que dizem, ele redigia mal, o que o torna ainda mais admirável e essa modernidade mais estranha. Enfim Elisabeth. Uma mulher pronta a explodir na língua dos anjos sem corar. As vezes a gente se sente como a pessoa errada, como alguém que não tem direito de fazer uma resenha, ou talvez nem mesmo de ler autores tão sofisticados.</t>
  </si>
  <si>
    <t>J. W. Goethe</t>
  </si>
  <si>
    <t>Os Sofrimentos do Jovem Werther</t>
  </si>
  <si>
    <t>O terreno da admiração vira solo fértil para uma obsessão. Mergulhado em um amor cada vez mais doentio, a carência, solidão e inadequação permite Werther perder o juízo. E lentamente, mas fatalmente, um vórtice de loucura cria forma ao ponto do iludido ensandecido se comparar a heróis e a invejar a loucura.</t>
  </si>
  <si>
    <t>Fascinante a análise sobre a criação e criatura. Como o homem tem a capacidade de se tornar um mostro de seus próprios atos e de construir monstros para si próprio. O estranho é narrado de forma realista e suas conseqüências trágicas são vistas em nosso dia a dia. Uma obra clássica e atual.</t>
  </si>
  <si>
    <t>Jabari Asim</t>
  </si>
  <si>
    <t>Em Algum Lugar lá Fora</t>
  </si>
  <si>
    <t>Que seja sempre lembrada a injustiça que o povo preto sofreu, principalmente da forma que Jabari contou, humanizando os personagens, este é seu ponte forte. Estes personagens tinham realmente duas cabeças. Uma para os Ladrões, mais quieta, submissa, simplificada, adaptada a opressão e camuflada para fugir dela. Mas outra pare eles, com linguagem de amor, de dor, com desejo de libertação ou, tristemente, de replicação das agruras sofridas. Essas dores rompiam mentes como no caso do Sam-Mais-Um e Zander, meus personagens favoritos. O primeiro acompanhado de seu irmão, talvez um ancestral, talvez uma loucura. Outro que queria voar, se tornar um anjo, tocar as estrelas, era sua forma de ver a liberdade. Que mais histórias como essa sejam contada, não com um viés sádico de apenas expor as dores, mas com intuito de mostrar que a humanidade resiste.</t>
  </si>
  <si>
    <t>Jamaica Kincaid</t>
  </si>
  <si>
    <t>A Autobiografia da Minha Mãe</t>
  </si>
  <si>
    <t>Ilha formanda por abandono, negros trazidos da diáspora africana, raros sobreviventes caraíbas já destituídos de si, colonizadores sempre a pensar em seus países de origem. Mães mortas ou não mães, mães ausentes ou presentes, assim como os pais. Todos sozinhos em seu luto interno, desprezando todos, não é terra fértil para o amor.</t>
  </si>
  <si>
    <t>James Baldwin</t>
  </si>
  <si>
    <t>Proclamem nas Montanhas</t>
  </si>
  <si>
    <t>Agruras infindáveis e injustas levam a uma fé de ferro. A promessa de salvação é o único elemento de esperança para os marginalizados, herança cristã dos colonizadores e senhores, os mesmo que promoveram pobreza e o desprezo. Mas em meio a fé, há o homem, sua hipocrisia, a violência replicada, há a maldade vingativa, o desespero dos mais fracos. No fim, o homem é um espelho de maldade, reflete a dor e promessa de bonança.</t>
  </si>
  <si>
    <t>Jane Austen</t>
  </si>
  <si>
    <t>Amor e Amizades &amp; outras histórias</t>
  </si>
  <si>
    <t>Viva o deboche!</t>
  </si>
  <si>
    <t>Mente/Forças</t>
  </si>
  <si>
    <t>Jane Harper</t>
  </si>
  <si>
    <t>A Seca</t>
  </si>
  <si>
    <t>Tão agressivo quanto a seca é a cidade de Kierrara. População sofrida, mas também algozes implacáveis. A trama é inteligente, o protagonista estoico convence, todos os personagens são suspeitos e o fim é recompensador. Um dos melhores da TAG.</t>
  </si>
  <si>
    <t>Jared Diamond</t>
  </si>
  <si>
    <t>Armas, Germes e Aço</t>
  </si>
  <si>
    <t>Numa corrida não declarada pelo dominância global os vencedores foram aqueles que estavam no lugar certo e na hora certa. O determinismo geográfico findou o sucesso da Europa.</t>
  </si>
  <si>
    <t>Javier Castillo</t>
  </si>
  <si>
    <t>La Chica de Nieve</t>
  </si>
  <si>
    <t>Crime e investigação em um texto inflado que cansa. Fala bem sobre obsessão, mas se perde em excessos e em um final forçadamente metalinguístico. E Kiera não teve uma evolução como personagem, a mesma voz, sempre.</t>
  </si>
  <si>
    <t>Javier Cercas</t>
  </si>
  <si>
    <t>A Velocidade da Luz</t>
  </si>
  <si>
    <t>A dor que os define os une, mesmo mistura suas identidades!</t>
  </si>
  <si>
    <t>Jefersom Tenório</t>
  </si>
  <si>
    <t>O Avesso da Pele</t>
  </si>
  <si>
    <t>O Avesso da Pele, corte profundo em pessoas feridas. Flagelo do racismo, sociedade de feitores violentos. Como ser feliz em meio a exclusão? Amar em meio ao ódio? Crescer em meio a violência? No avesso da pele todos seriam da mesma cor, por dentro? Não acho isso. Por dentro ao pessoa preta é construída de cicatrizes e sobrevivência.</t>
  </si>
  <si>
    <t>Jenny Tinghi Zhang</t>
  </si>
  <si>
    <t>As Quatros Vidas de Daiyu</t>
  </si>
  <si>
    <t>Um carrossel de desgraças a atrocidades clichês de como o ocidente enxerga o oriental. Quase sempre órfãos, meninas levadas a prostituição, encontram pessoas que ou são mestres boníssimos e sapientes ou criaturas vis. Também, claro, um amor de viés bissexual (Mulan, corre aqui) ou um casal homossexual nas entrelinhas. Nada de novo. Mas o final é um ponto positivo, nem sempre os personagens dão certo e as vezes os monstros da vida real são os piores, como a Ku Klux Klan.</t>
  </si>
  <si>
    <t>Jhumpa Lahiri</t>
  </si>
  <si>
    <t>Intérprete de Males</t>
  </si>
  <si>
    <t>Delicado como um conto de fadas o autor explora o amor e o desamor, o preconceito sofrido e exercido, a adaptação, o abandono e a saudades. Muito lindo.</t>
  </si>
  <si>
    <t>O Xará</t>
  </si>
  <si>
    <t>De uma sensibilidade incrível o texto narra a história cotidiana, mas de acasos importantes de uma família construída em uma diferente cultura. Mas, muito mais que um relato de choque cultural, o livro mergulha na cabeça de diferentes personagens trazendo-os a uma familiaridade íntima. Entendemos as motivações, os anseios e os medos. da mesma forma que os textos do xará em questão: Nikolai Gogol. E como o célebre texto do auto, "O Capote", um texto também psicológico, percebe-se uma certa mediocridade nos personagens. Vidas que passam sem muitos acertos, onde a pouca conquista e celebrada em meio a perdas. Ainda, como uma homenagem existem importantes peças de roupas dedicadas aos personagens, como: um vestido não tão bonito, um roupão antigo, entre outros.</t>
  </si>
  <si>
    <t>Jo Nesbø</t>
  </si>
  <si>
    <t>Lua de Sangue</t>
  </si>
  <si>
    <t>Robert B. Haas</t>
  </si>
  <si>
    <t>Fui, felizmente. enganado e ludibriado, feito de bobo mesmo. Fui envolvido, fiquei nervoso, apreensivo, preocupado com os personagens que sequer existem. Fiquei íntimo de Oslo, suas florestas e fiordes. Talvez o melhor livro da TAG inéditos que recebi e, sem dúvida, o melhor policial do clube.</t>
  </si>
  <si>
    <t>Aos Olhos do Condor</t>
  </si>
  <si>
    <t>Zahar</t>
  </si>
  <si>
    <t>João Steiner</t>
  </si>
  <si>
    <t>O Fascínio do Universo</t>
  </si>
  <si>
    <t>Este livro traz de forma fácil e agradável a complexa dinâmica do universo, sua grandiloqüência e as descobertas mais recentes. Muitos termos são inseridos de forma clara, acessível ao público leigo e interessado em astronomia. O universo ou o multiverso é mais vivo que imaginávamos, suas formas sofrem transformações, aparecem e desaparecem e muitos mistérios ainda falta ser desvendados como a energia escuro e a aceleração da expansão. E ainda, este livro nos atualiza a respeito das novas descobertas feita por brasileiros e sua relevância na astronomia mundial.</t>
  </si>
  <si>
    <t>Correspondência/Forças</t>
  </si>
  <si>
    <t>Jodi Picoult</t>
  </si>
  <si>
    <t>Queria que Você Estivesse Aqui</t>
  </si>
  <si>
    <t>A obra nos remeteu a questões universais nos tempos de Covid. Acabaria? As coisas voltarão ao normal? O que mudaria para sempre? No fim, um pouco de cada. Ainda há Covid e as coisas voltaram, mas nós não somos mais os mesmos. O isolamento foi transformador, mudou o rumo de inúmeras vidas com a partida abrupta de entes queridos ou com o desmantelamento de projetos. Os protagonistas passaram pelo mesmo de forma bem honesta, principalmente Diana e, claro, fantasiada em Galápagos. Vemos as transformações da personagem no período em que viveu na ilha. Sua necessidade de controle pela aceitação da imprevisibilidade. O rancor em amor. Os projetos em desistências, incluindo os amorosos. No fim, vemos a formação da nova Diana. (obs.: achava o casal bem chato.)</t>
  </si>
  <si>
    <t>Joe Hill</t>
  </si>
  <si>
    <t>Carrossel Sombrio e outras histórias</t>
  </si>
  <si>
    <t>O carrossel de Jhon Hill teve um rodeio irregular... Começou desinteressante, chegou em seu ápice em "Devoluções Atrasadas", seguindo um bom curso até "Mães" e depois se perdendo de vez. É de aplaudir a abrangência de sua obra, mas pouca coisa me emocionou de verdade, passei a viagem meio impassível.</t>
  </si>
  <si>
    <t>É muito bom nos fascinar com nossa própria terra. Surpreender com paisagens tão próximas e respeitar a terra que nos oferece abrigo exigindo respeito. Este livro é uma ode a América Latin mostrando nossa diversidade tão próxima quanto impressionante. Hoje sou mais feliz e sinto mais orgulho de ser Latino-americano.</t>
  </si>
  <si>
    <t>John Boyne</t>
  </si>
  <si>
    <t>Uma Escada para o Céu</t>
  </si>
  <si>
    <t>A saga do psicopata com super-poder de magnetismo pessoal punindo os gays que se apaixonavam levando-os a um fim trágico não me agradou.</t>
  </si>
  <si>
    <t>John Gray</t>
  </si>
  <si>
    <t>Odysseum</t>
  </si>
  <si>
    <t>Homens São de Marte, Mulheres São de Vẽnus</t>
  </si>
  <si>
    <t>De princípio é uma verdadeira viagem para o mundo particular feminino. Entendemos (no meu caso do ponto de vista masculino) nuances de comportamento e aprendemos bastante sobre nossas reações. No entanto, o texto se torna redundante, algumas vezes nos tratando com estupidez pela forma repetitiva de explicar. Talvez, uma versão com 1/3 das informações melhor trabalhadas faria do livro algo mais palatável.</t>
  </si>
  <si>
    <t>John Grisham</t>
  </si>
  <si>
    <t>Cartada Final</t>
  </si>
  <si>
    <t>Instigante. Me levou aos trâmites judiciários com leveza, mas sem nos passar por burros. A sede por justiça foi apresentada de forma verossímil, como não lutar diante de tamanha injustiça? Como descansar enquanto inocentes morrem? Minha maior crítica é a aura casta do herói, Post parece se resguardar dos pecados, mesmo por castidade, como prova de seu irredutível senso de honra, traços de puritanismo que não atrapalha em nada a experiência.</t>
  </si>
  <si>
    <t>Jonas Samaúma</t>
  </si>
  <si>
    <t>Ailton Krenak: O Rio da Memória</t>
  </si>
  <si>
    <t>José Carlos Capinan</t>
  </si>
  <si>
    <t>Inquisitorial poemas</t>
  </si>
  <si>
    <t>Laurentino Gomes</t>
  </si>
  <si>
    <t>José Luís Peixoto</t>
  </si>
  <si>
    <t>Tempo/Mente</t>
  </si>
  <si>
    <t>Na intercessão mágica de uma autobiografia de realidade e o personagem que nos visualizamos de nós próprios José Luís Peixoto construiu seu reino imaginário. Quem somos? Como nos vemos? Como nos mostramos? Tudo isso se mistura em ficção, personagens reais e imaginários, locais reais e memórias!</t>
  </si>
  <si>
    <t>Ensaio sobre a Cegueira</t>
  </si>
  <si>
    <t>"..., perdoem-me a prelecção moralística, é que vocês não sabem, não o podem saber, o que é ter olhos num mundo de cegos, não sou rainha, não, sou simplesmente a que nasceu para ver o horror..." José Saramago escreveu tudo nesse fragmento. O horror, a fantasia e a humanidade se sua incrível obra. Um gênio e nada mais.</t>
  </si>
  <si>
    <t>Acontecimentos densos e importantes para Brasil e Portugal aconteceram após esta fatídica data se 1808 e Laurentino Gomes conseguiu transcrever tudo de modo fácil e divertido. Lendo este livro você é inserido no contesto histórico e sente-se familiar com personalidades humanas de pessoas históricas. Nunca a história do Brasil se mostrou tão interessante para mim.</t>
  </si>
  <si>
    <t>Caim</t>
  </si>
  <si>
    <t>Saramago com ironia, mordaz em sua conclusões desfigura a imagem tradicional de Deus para formar uma imagem de total humanidade, a verdadeira "imagem e semelhança" a sua criatura. Cria um Caim pensativo, eficaz no debate e não indiferente a crueldade e as injustiças que é obrigado a assistir. Brilhante.</t>
  </si>
  <si>
    <t>Joseph Conrad</t>
  </si>
  <si>
    <t>Principium</t>
  </si>
  <si>
    <t>Uma história psicológica no princípio da sociedade moderna. Um homem que após se refugiar por tanto tempo encontra um propósito num encontro, mesmo que lute contra isso.</t>
  </si>
  <si>
    <t>Jostein Gaarder</t>
  </si>
  <si>
    <t>O Mundo de Sofia</t>
  </si>
  <si>
    <t>Um livro ao meu ver essencial, pois define bem a construção do pensamento de nossa sociedade através dos séculos. É um resumo de quem somos e o porquê de sermos assim. Ao lê-lo é fomentado o ato de pensar sobre a nossa natureza e a natureza do universo, ganhamos a curiosidade dos filósofos. Mudou minha forma de ver o mundo e espero que mude a de muitas pessoas mais.</t>
  </si>
  <si>
    <t>Joyce Carol Oates</t>
  </si>
  <si>
    <t>Minha Vida de Rata</t>
  </si>
  <si>
    <t>Violet é culpa. Culpa por sua família, culpa pelo crime, pelo racismo, por fazer o certo, por se transformar em uma rata. Como rata sobrevive de sobras, sobras de amor que na verdade era domínio e luxúria. Fugindo de predadores, homens brancos heterossexuais violentos, estes, no alto de seu privilégio, vendo ela como presa fácil. Como não se relacionar se o amor que deveria ter recebido de casa lhe faltou? Como evitar o perigo se em casa a lição era de masculinidade tóxica e submissão? Era uma naufraga se agarrando a qualquer um que lhe mostrasse algum amor, mesmo que este amor fosse apenas uma ilusão. É muito difícil se construir sem base e talvez essa falta nunca seja preenchida. História que mostrou a importância e a força da família, nesse caso para o mal.</t>
  </si>
  <si>
    <t>Julia Dantas</t>
  </si>
  <si>
    <t>Ela se chama Rodolfo</t>
  </si>
  <si>
    <t>Murilo é Roberto. Fechado a si e a merce de terceiros. Transportado para todos os cantos por Gabbriela, Francesca, Lídia. É casa para Camilo, e casco para Roberto. Francesca também é Roberto. Feminino-masculino, ancestral em suas palavras e vivência, asquerosa por olhos de muitos (o que é inadmissível), isolada em seu casco-hospital.</t>
  </si>
  <si>
    <t>Julia Heaberlin</t>
  </si>
  <si>
    <t>A Noite vai te Encontrar</t>
  </si>
  <si>
    <t>Heaberlin acerta em mesclar a ciência com o a vidência, essa descrita de forma bem vívida. Acerta em revelar a malícia e a manipulação dos teóricos da conspiração e os lucros que eles conquistam para apaziguar pessoas vazias que precisam desesperadamente fugir da própria mediocridade. Porém, "Não sei explicar por que acredito que um maestro está conduzindo esse jogo aqui", achei um pouco pretensioso e bem humorado. E o que me irritou foi essa aura de Tony Stark da vida real para Elon Musk.</t>
  </si>
  <si>
    <t>Julian Barnes</t>
  </si>
  <si>
    <t>O Sentido de um Fim</t>
  </si>
  <si>
    <t>Há mais culpa do que mediocridade e falha de memória! Tony não é tão inocente quanto aparenta ser!</t>
  </si>
  <si>
    <t>Sidney Sheldon</t>
  </si>
  <si>
    <t>Julie Oliveira/Rouxinol do Rinaré</t>
  </si>
  <si>
    <t>A Outra Face</t>
  </si>
  <si>
    <t>Dilvana Silva Santos: Catadora de Memórias</t>
  </si>
  <si>
    <t>Junichiro Tanizaki</t>
  </si>
  <si>
    <t>Voragem</t>
  </si>
  <si>
    <t>Kamila Shamsie</t>
  </si>
  <si>
    <t>Lar em Chamas</t>
  </si>
  <si>
    <t>Kamila entrou fundo em dramas pessoais e familiares para explorar a política atual. A quem somo fiéis quando o estado e os familiares estão em polos opostos? Pessoas deixam de ser cidadãos por erros e, caso sim, nosso valor como pessoa é pelo que fazemos ao estado não inerente a existência? Quanta culpa carregamos pelos erros de nossos pais e irmãos e como redimi-los? Ao se aprofundar nesses dilemas entramos na delicada trama que transforma um grupo de pessoas que habitam em uma mesma terra em uma nação, mesmo que essa reflete uma composição social que não existe mais.</t>
  </si>
  <si>
    <t>Karen Dionne</t>
  </si>
  <si>
    <t>A Filha do Rei do Pântano</t>
  </si>
  <si>
    <t>É difícil viver na sombra de um homem ruim e não se influenciar... As marcas são eternas e a violência um ciclo...</t>
  </si>
  <si>
    <t>Karen Thompson Walker</t>
  </si>
  <si>
    <t>Os Sonhadores</t>
  </si>
  <si>
    <t>Com grande paralelo com a situação mundial de um surto viral a autora conseguiu abordar de forma bem verossímil a sentimentos comuns com descrença, a ansiedade do isolamento, o aparecimento de teorias de conspiração, a dor da perda, a culpa de estar são, a sobrevivência a o altruísmo!</t>
  </si>
  <si>
    <t>Karin Slaughter</t>
  </si>
  <si>
    <t>A Boa Filha</t>
  </si>
  <si>
    <t>De ritmo acelerado, ganchos estremamente instigantes e uma boa história policial o livro conseguiu me prender nele de forma vigorosa. Personagens complexos e complexados sustentaram a história bem mais que o mistério do crime que foi solucionado de forma quase profética.</t>
  </si>
  <si>
    <t>Karine Tuil</t>
  </si>
  <si>
    <t>Elétrico!!! A cada página uma reviravolta, personagens que mudam de face caminhando na tênue linha da loucura e inteligência. recomendo a todos que gostam de textos rápidos, de qualidade e histórias que nos fazem pensar!!</t>
  </si>
  <si>
    <t>Coisas Humanas</t>
  </si>
  <si>
    <t>Um carnaval de máscaras e encenações que revelam a crua realidade de uma sociedade feita para proteger o homem e castigar a mulher. Pequenos erros femininos levados falsamente equiparados com diferentes tipos de agressões. Mulheres postas a prova o tempo todo enquanto homens se escondem no maquinário social. E o cinismo de final tristemente tão real.</t>
  </si>
  <si>
    <t>Kate Quinn</t>
  </si>
  <si>
    <t>A Rede de Alice</t>
  </si>
  <si>
    <t>Onde a delicadeza é força, a inteligência e descrição e o feminino é poder!</t>
  </si>
  <si>
    <t>Kate Solly</t>
  </si>
  <si>
    <t>O Coletivo de Crochê de Copeton</t>
  </si>
  <si>
    <t>Kate Solly disse que deu um pouco de sua personalidade para cada personagem. Bom, deu ara ver. Cada um deles era apenas um pedaço, um traço superficial que passa longe de ser um todo. Estes personagens era chatos, além de chatos, eram fracos, caricatos, simplistas. Mas valorizo o senso de humor e o importantíssimo tema da islamofobia, uma doença social em crescimento.</t>
  </si>
  <si>
    <t>Katherine Faulker</t>
  </si>
  <si>
    <t>Greenwich Park</t>
  </si>
  <si>
    <t>Uma protagonista embriagada pelo conforto e indulgência. Cega em meio ao tiroteio de pessoas vivendo, errando e acertando, enquanto prefere a simplicidade de ser coadjuvante. Não reage, não age, não vê e quanto vê, não enxerga. É a personagem menos interessante da história.</t>
  </si>
  <si>
    <t>Ken Follett</t>
  </si>
  <si>
    <t>Os Pilares da Terra</t>
  </si>
  <si>
    <t>Kevin Wilson</t>
  </si>
  <si>
    <t>Nada Para Ver Aqui</t>
  </si>
  <si>
    <t>A alegoria da inadequação na forma de fogo. Todos os personagens são quebrados, mas as crianças são as únicas honestas quanto a isso, que não tentam se esconder e se orgulham de ser quem são.</t>
  </si>
  <si>
    <t>Klese Laymon</t>
  </si>
  <si>
    <t>Guerra dos Mil Dias</t>
  </si>
  <si>
    <t>Pesado</t>
  </si>
  <si>
    <t>O nome da obra significa tudo! Laymon escreve uma história pesada ao leitor, que cresce na boca do estômago e ocupa pesadamente nossos pensamentos por dia. Pesado é o acúmulo de violência que ele carrega, um somatório de seu sofrimento, dos pais, avós e assim continua. POor conta disso, pesado é a relação do personagem/autor consigo próprio, ser um homem negro, grande e forte e viver com o que isso representa dentro de um país sistematicamente e institucionalmente racista. Pesada a forma que ele tenta conviver com isso, sua fixação com seu peso, sendo tanto negligente quanto aficionado com o peso, como uma forma de diminuir ou mitigar a forma que os brancos o enxergam. Pesado é ter que ser excelente o tempo todo, tanto para conseguir o mínimo quanto para corresponder a expectativa da mãe a a que ele se exige. Pesada é a obra.</t>
  </si>
  <si>
    <t>Kurt Seligmann</t>
  </si>
  <si>
    <t>Cartagena das Índias</t>
  </si>
  <si>
    <t>História da Magia</t>
  </si>
  <si>
    <t>Fascinante o fascínio pela magia e sua contribuição com o imaginário e a ciência de diferentes época. Simplesmente o resumo de todos os desejos da humanidade.</t>
  </si>
  <si>
    <t>Laerte/Rafael Coutinho</t>
  </si>
  <si>
    <t>Vida Fóssil</t>
  </si>
  <si>
    <t>Lao She</t>
  </si>
  <si>
    <t>O Garoto do Riquixá</t>
  </si>
  <si>
    <t>A precarização do trabalho e a desvalorização do trabalhador perante ao capital, temas tão atuais, foi a cerne do texto de Lao She. Quando o trabalho, que a tudo produz, mas nada mais vale, se torna se torna vítima da máquina moedora de gente de um capitalismo extremo e desumanizador, leva primeiro ao desamparo e desespero individual, seguido de uma sanguinolenta tensão social. Em o Garoto do Riquixá isso foi visto de bem perto. A degradação do jovem ideal a uma criatura parasitária do sistema. A desvalorização do trabalhador e exploração do serviço ao ponto da ruptura do princípio de trabalhar. No final, para que tanto esforço? Para quem tanto sacrifício? As histórias do livro me remeteu tanto a antepassados meus em colheitas de café que quase nada conquistaram e muitos perdidos em vício no álcool, quanto a nossa contemporaneidade com a uberização de diversos serviços (sendo o transporte um paralelo poderosíssimo com a história) levando a desesperança e a epidemia de viciados. Quando a vida nada vale, vale tudo nessa vida.</t>
  </si>
  <si>
    <t>Leandro Narloch</t>
  </si>
  <si>
    <t>Guia Politicamente Incorreto da América Latina</t>
  </si>
  <si>
    <t>Curioso e inegável... cada escolha história e todos os erros são negativamente familiares a todos os latinos-americanos. extremamente atual mesmo se tratando de um tema histórico.</t>
  </si>
  <si>
    <t>Leila Aboulela</t>
  </si>
  <si>
    <t>A Voz das Águas</t>
  </si>
  <si>
    <t>Muito assertivo na escolha do período, mas com grandes problemas de mudança de escala entre o pessoal e o histórico. Um esvaziava o outro. Há um excesso de pontos de vistas, sendo a da filha do pinto completamente paralelo, ao meu ver. Tratou bem o tema de religião, desespero, nacionalismo e extremismo, mas as brumas leve do amor em meio a fome extrema foi uma escolha não muito agradável. Da mesmo forma como a subserviência de Zamzam, uma protagonista que vive em diferentes órbitas. Salhapara mim foi a melhor personagem.</t>
  </si>
  <si>
    <t>Léonor de Récondo</t>
  </si>
  <si>
    <t>Ponto Cardeal</t>
  </si>
  <si>
    <t>Uma revolução pessoa, com baixas de pessoas próximas, desestruturação familiar, ansiedade sem cautela, libertação, redefinição e adequamento a si próprio. De grandeza na transformação e delicada nos detalhes.</t>
  </si>
  <si>
    <t>Lewis Caroll</t>
  </si>
  <si>
    <t>Alice no País das Maravilhas</t>
  </si>
  <si>
    <t>Esperava uma viagem conhecida, mas embarquei em uma fantasia própria! Incrível!</t>
  </si>
  <si>
    <t>Lily Brooks-Dalton</t>
  </si>
  <si>
    <t>O Céu da Meia-Noite</t>
  </si>
  <si>
    <t>De toda a imensidão descrita, a maior era a interna. Personagens introspectivos, arrependidos, perdidos dentro de si. A desolação do externo era puro reflexo do que tinham por dentro. Quão só pode ser uma pessoa?</t>
  </si>
  <si>
    <t>Lily King</t>
  </si>
  <si>
    <t>Escritores &amp; Amantes</t>
  </si>
  <si>
    <t>Boa parte do livro me senti lendo uma autópsia da mente da personagem, uma investigação da causa de morte que levou a personagem ao estado de animação automática em que vivia. Abelhas de ansiedade, a tristeza da espera, o luto que a consome. Mas depois pensei melhor e vi o quão forte ela era que, apesar de tudo, não desistia, continuava seguindo, movendo o mundo pelo seu sonho.</t>
  </si>
  <si>
    <t>Lima Barreto</t>
  </si>
  <si>
    <t>Clara dos Anjos</t>
  </si>
  <si>
    <t>Barreto pinta o subúrbio com incríveis personagens realistas e fascinantes , bem Naturalista, expõe as maselas e prisões raciais e misógenas, a liberdade dos favorecidos e a realidade de uma sociedade segregada. Pobre Clara, tão vítima que foi apagada até de sua própria história.</t>
  </si>
  <si>
    <t>Lisa Ridzén</t>
  </si>
  <si>
    <t>Entropia/Vida</t>
  </si>
  <si>
    <t>Quanto os Pássaros Voam para o Sul</t>
  </si>
  <si>
    <t>Distópico</t>
  </si>
  <si>
    <t>Cegueira</t>
  </si>
  <si>
    <t>A vida humana é complexa, profunda e sensível. E a companhia de um animal de estimação ajuda a confortar essa turbulenta viagem. O fim dessa jornada é ainda mais complicado, pois o passado retumba, incertezas e inseguranças constantes, arrependimentos que retornam com frequência. A presença de um animal de estimação pode ser um alento, uma preocupação ou mesmo um gatilho para o fim.</t>
  </si>
  <si>
    <t>Liz Moore</t>
  </si>
  <si>
    <t>Claro e Longo Rio</t>
  </si>
  <si>
    <t>O livro me enganou, seu começo banal não revelou a profundidade das questões sociais que enbarcaria. Família e criação, solo frio para as protagonistas. Frio também o cenário da cidade, os becos imundos, o vício em drogas, prostituição e todo tipo de violência. Todos os personagens são fortes, com defeitos verossimeis, com tristeza intricada, com erros marcantes e acertos sinceros.</t>
  </si>
  <si>
    <t>Ecos da Floresta</t>
  </si>
  <si>
    <t>O livro nos deixa perdido na floresta sem resposta, às vezes é longo demais, como se errássemos a trilha. Outras vezes é direto, certeiro e, até mesmo, cruel. Como leitor eu achei um pouco inchado e toda a parte do Sluiter uma perda de tempo, mas isso não tira o brilho da obra.</t>
  </si>
  <si>
    <t>Louise Meriwether</t>
  </si>
  <si>
    <t>Meu Pai e suas Apostas</t>
  </si>
  <si>
    <t>A vida negra, principalmente em período de crises, é apostar a vida. A cada passo alguém pronto para lhe tirar algo, como a vida, dinheiro e dignidade. A cada negativa e abandono uma chance de apostar tudo no crime ou na fantasia do vício. E são tantos não, tantos fracassos em um jogo roubado. Meriwether escreveu sobre isso tudo em seu texto brilhante e vivo e ainda muito mais. O paradoxo dos pais, onde o pai luta pelo orgulho dos negros e mergulhado em vício e a mãe que fugiu do sul, mas que continua trabalhando em condições humilhantes. Os ataques de pânico desassistidos de Francie que é sistematicamente colocada em risco e sob abuso sexual, mesmo que cercada no duro amor dos pais, ao contrário de Sukie. Como julgar os irmão por desistir de lutar esse jogo de derrota? Fantástico!</t>
  </si>
  <si>
    <t>LeYa Brasil</t>
  </si>
  <si>
    <t>Westeros</t>
  </si>
  <si>
    <t>A Mão e a Luva</t>
  </si>
  <si>
    <t>Feudo</t>
  </si>
  <si>
    <t>Machado atravessa o Romantismo vigente dando ares humanos realista a seus personagens, principalmente no casal formado, estes completamente cínicos!</t>
  </si>
  <si>
    <t>As Crônicas de Gelo e Fogo</t>
  </si>
  <si>
    <t>O Alienista</t>
  </si>
  <si>
    <t>Afinal, quem não é louco a sua maneia?</t>
  </si>
  <si>
    <t>Maek Twain</t>
  </si>
  <si>
    <t>Rick Riordan</t>
  </si>
  <si>
    <t>Tequila Vermelha</t>
  </si>
  <si>
    <t>The Adventures of Tom Sawyer</t>
  </si>
  <si>
    <t>Peripécias de um garoto ganhando contornos policiais!</t>
  </si>
  <si>
    <t>Maggie O'Farrell</t>
  </si>
  <si>
    <t>Existo, Existo, Existo: Dezessete tropeços na morte</t>
  </si>
  <si>
    <t>A morte nos faz nos redescobrirmos, seja como viventes ou seja como pais.</t>
  </si>
  <si>
    <t>Manoel de Barros</t>
  </si>
  <si>
    <t>O Guardados de Águas</t>
  </si>
  <si>
    <t>Marcelo Rossi (Padre)</t>
  </si>
  <si>
    <t>Ágape</t>
  </si>
  <si>
    <t>De beleza sutil e leve o escritor Padre Marcelo Rossi nos traz reflexões de passagens do Evangelho de São João para ser aplicado em nossas vidas seguindo os passos de Cristo. Indico para qualquer um que caminhe em um momento negro ou que queira apenas se sentir melhor, independente de religião.</t>
  </si>
  <si>
    <t>Texas</t>
  </si>
  <si>
    <t>San Antônio</t>
  </si>
  <si>
    <t>Marcelo Rubens Paiva</t>
  </si>
  <si>
    <t>Roubo</t>
  </si>
  <si>
    <t>Ainda Estou Aqui</t>
  </si>
  <si>
    <t>Marcelo Rubens Paiva mergulha em sua memória para relatar a impressionante vida de sua mãe, Eunice, e sua derradeira perda de memória. Vítimas da Ditadura Militar, passaram a vida em uma trajetória de sucessos (mesmo com tragédias e desilusões) fugindo da caricata persona vitimizada. O autor com clareza e emoção compartilhou as emoções, fantasias e decepções que tanto marcaram suas memórias e que agora se perde no nebuloso esquecimento causado pelo "maldito alemão".</t>
  </si>
  <si>
    <t>Marco Haurélio</t>
  </si>
  <si>
    <t>Museu Vale - Um sonho extramuros</t>
  </si>
  <si>
    <t>História interessante que nos leva a um Texas plausível, mas sem convencer muito com seu protagonista. Uma história agradável, mas apenas isso.</t>
  </si>
  <si>
    <t>Regina Ruschi: A Guardiã das Memórias Ancestrais</t>
  </si>
  <si>
    <t>Marguerite Duras</t>
  </si>
  <si>
    <t>O Amante</t>
  </si>
  <si>
    <t>Delírio e solidão, fetiche e lembrança, culpa e tristeza. Os meandros da mente pantanosa e sombria de uma jovem.</t>
  </si>
  <si>
    <t>Maria Firmina dos Reis</t>
  </si>
  <si>
    <t>Úrsula</t>
  </si>
  <si>
    <t>Umas das importâncias da obra é o reflexo da violenta, racista e machista sociedade na época. Forte é a marca e profundos são os problemas da sociedade atual.</t>
  </si>
  <si>
    <t>Maria José Silveira</t>
  </si>
  <si>
    <t>Maria Altamira</t>
  </si>
  <si>
    <t>Muitas mortes ocorrem. A morte de uma vila e de familiares. A morte de uma identidade e de um habitat. A morte de um rio e de toda simbologia. um livro sobre o luto, uma batalha quase sempre perdida. uma batalha sempre importante.</t>
  </si>
  <si>
    <t>Maria Valéria Rezende</t>
  </si>
  <si>
    <t>O Voo do Guará Vermelho</t>
  </si>
  <si>
    <t>A busca da palavra. A mulher, doadora e em seu fim, busca a palavra ouvida e entrega a palavra escrita. O homem, também doador e ainda em movimento, entrega a palava ouvida e recebe a escrita. Essa busca pela palavra, tanto no começo quanto no fim, em ritmo de poesia e cordel, que nos aproxima dos personagens. Nós também estamos em busca da palavra.</t>
  </si>
  <si>
    <t>Mariana Leky</t>
  </si>
  <si>
    <t>O Dia em que Selma Sonhou com um Ocapi</t>
  </si>
  <si>
    <t>Na Realidade Fantástica os personagens extremamente humanos são formados. No absurdos eles criam profundidade, tão belos como se fossem de carne e sangue. Belíssimo.</t>
  </si>
  <si>
    <t>Mariana Salomão Carrara</t>
  </si>
  <si>
    <t>A Árvore Mais Sozinha do Mundo</t>
  </si>
  <si>
    <t>Uma família que é tão brasileira, apesar da forte particularidade gaúcha. Tão comum no interior. A vida de pobreza do produtor rural cercado de dívidas e veneno. A dependência do mercado que vê apenas o produto, não a vida humana por detrás. Troca-se os sonhos, a saúde, o corpo pelo produto que, nesse caso e não ironicamente, leva ao vício e mais mortes. Um ciclo de morte desde a origem.</t>
  </si>
  <si>
    <t>Marianne Cronin</t>
  </si>
  <si>
    <t>Os Cem Anos de Lenni e Margot</t>
  </si>
  <si>
    <t>Tanta vida pra viver e tanta vida já vivida, a expectativa de morte sempre presente, a deterioração da carne, o desespero pra viver. Tudo isso foi entregue em lindos diálogos, por vezes cômicos, mas sempre agridoce.</t>
  </si>
  <si>
    <t>Marie Benedict</t>
  </si>
  <si>
    <t>A Única Mulher</t>
  </si>
  <si>
    <t>Forte história contada de forma ineficiente. A realidade sobrepôs a escrita, a personagem história surgiu como ficção, pouco crível. Uma pena</t>
  </si>
  <si>
    <t>Marilia Arnaud</t>
  </si>
  <si>
    <t>O Pássaro Secreto</t>
  </si>
  <si>
    <t>Aglaia é mesquinha, violenta, perigosa e incrivelmente humana. Seus sentimentos amplificados são nossas vergonhas mais internas, mas nela escancaradas. Sua doença rompe pra realidade o que não temos coragem de admitir nem para nós mesmo! Incrível jornada da incrivente crível Aglaia.</t>
  </si>
  <si>
    <t>Mario Benedetti</t>
  </si>
  <si>
    <t>A Trégua</t>
  </si>
  <si>
    <t>Difícil pensar sobre o livro de forma anacrônica. A história é cria de seu tempo onde o protagonista e covarde, arrogante, preconceituoso, tem medo de ser amoroso e, principalmente, de se expor ao ridículo. E é isso que torna o livro crível, nessas limitações Santomé ruma com pouco afinco a sua felicidade, lutando a cada momento para se entregar a essa felicidade. Acostumado em estar apagado, a viver no automático ele acaba sendo absorvido e absorto torna-se feliz.</t>
  </si>
  <si>
    <t>Primavera Num Espelho Partido</t>
  </si>
  <si>
    <t>Marjan Kamali</t>
  </si>
  <si>
    <t>As Mulheres-leão de Teerã</t>
  </si>
  <si>
    <t xml:space="preserve">O ponto de vista assimétrico fez Ellie perceber Homa quase idealizada, uma santa de causas sagradas. Entendo que essa pode ser a ótima do amor, mas me incomodou um pouco. No entanto, essa visão caolha é o mote de todo regime fundamentalista, de todo extremismo narrado em dois períodos no Irã, uma analogia da condição política. </t>
  </si>
  <si>
    <t>Marta Orriols</t>
  </si>
  <si>
    <t>Aprender a falar com as plantas</t>
  </si>
  <si>
    <t>Paula renasce após a morte do marido como seus pacientes do neonatal, precisando de cuidados extremos, podendo não sobreviver. descobre que o afeto e mãos quentes possuem propriedades terapêuticas. Entende que a força de viver tem que sair ela, mesmo que antes tenha que passar pelo longo processo de voltar a amar a vida. Poderá carregar sequelas ou passará por tudo isso e receber essa nova chance.</t>
  </si>
  <si>
    <t>Mary Lynn Bracht</t>
  </si>
  <si>
    <t>Herdeiras do Mar</t>
  </si>
  <si>
    <t>As atrocidades cometidas pelo Japão durante a invasão a Península da Coréia e na Segunda Guerra Mundia foi habilmente trabalhado por Mary Lynn Bracht. A autora resistiu em não apresentar a violência como um festival de sofrimento como único propósito, mas as apresentou, mesmo que de forma crua, com honestidade e dignidade no ponto de vista das vítimas!</t>
  </si>
  <si>
    <t>Masaji Ishikawa</t>
  </si>
  <si>
    <t>Um Rio na Escuridão</t>
  </si>
  <si>
    <t>A manutenção do poder levou a atos extremos de desumanização. Levados a condições de lutar pela vida o dia todo e todos os dias, as pessoas se isolam na auto-sobrevivência, não tem espaço para mais ninguém. A morte é cotidiana e o sofrimento diária encouraça a empatia, só resta o animal, só resta a dor e a confusão. Condição de luta ou fuga, mesmo para a maioria dos agressores, um pouco melhor que as vítimas. Enquanto isso, a topo tem tudo, vidas já não importam mais.</t>
  </si>
  <si>
    <t>Matt Haig</t>
  </si>
  <si>
    <t>A Biblioteca da meia-noite</t>
  </si>
  <si>
    <t>Um grande catálogos de arrependimentos e de olhar para trás, perigosa armadilha a ser policiada. Exercitar a gratidão é uma forma de nãos e tornar Nora Seed.</t>
  </si>
  <si>
    <t>A Vida Impossível</t>
  </si>
  <si>
    <t>De quem se trata a vida impossível? De La Poderosa em mar profundo? De Salácia e seus milagres? Dos poderes além da vida conhecida? Do pequeno Daniel ou Cristina de vidas interrompidas? De um protagonismo de uma senhora quase otagenária? No final, nada é impossível para aquele que lê.</t>
  </si>
  <si>
    <t>Matthew Blake</t>
  </si>
  <si>
    <t>Anna O</t>
  </si>
  <si>
    <t>Não consegui gostar muito do livro. Tanto Ben quanto Anna são insuportáveis. Os diários foi um recurso meio besta, tem relato, falso ou não, de um desmaio nesse diário, o que não faz o menor sentido. Tava na cara que Clara estava envolvida.</t>
  </si>
  <si>
    <t>Maya Angelou</t>
  </si>
  <si>
    <t>Eu Sei Por Que o Pássaro Canta na Gaiola</t>
  </si>
  <si>
    <t>Venham e Juntem-se a Mim</t>
  </si>
  <si>
    <t>Uma menina com uma criança sobrevivendo a um mundo de abandono, de predadores e aproveitadores. Maya confunde sonho com realidade, transforma emoção em impulso, desejo em arrependimentos. Perde-se de si e perde o próprio filho em uma mente jovem que é incapaz de se conter. Vive mil vidas infelizes, mas vive cada uma delas.</t>
  </si>
  <si>
    <t>Mercè Rodoreda</t>
  </si>
  <si>
    <t>A Praça do Diamante</t>
  </si>
  <si>
    <t>A escrita reflete os pensamentos de Colometa, as vezes vagos e outras dominantes. Muitas vezes a aflição, representada pelos pombos e pela repetição, me deixava angustiado e isso me maravilha.</t>
  </si>
  <si>
    <t>Espelho Partido</t>
  </si>
  <si>
    <t>De segredo em segredo, de amor a amor a história passeia por uma estrada de decadência. Entropia de uma família de alicerces de vidro que partidos se rompe em milhões de verdades encobertas. Fantástico acompanhar a derrocada!</t>
  </si>
  <si>
    <t>Mia Couto</t>
  </si>
  <si>
    <t>O Mapeador de Ausências</t>
  </si>
  <si>
    <t>De muitas pinceladas poéticas, de fonte de informações subjetivas e carregadas de mágoas e amores, a história é construída de forma irregular e profundamente intrincada aos personagens. O quanto dos textos são interpretações e como definir uma verdade, fora a crueldade dos regimes colonialistas e do racismo. Belíssimo, como uma poesia o texto depende mais da interpretação do que da literalidade.</t>
  </si>
  <si>
    <t>Michael Connelly</t>
  </si>
  <si>
    <t>O Quarto em Chamas</t>
  </si>
  <si>
    <t>Boa história policial com personagens profundos, não perfeitos e uma história que luta pra se manter na esfera do plausível!</t>
  </si>
  <si>
    <t>Michael Cunningham</t>
  </si>
  <si>
    <t>Uma Casa no Fim do Mundo</t>
  </si>
  <si>
    <t>Perdas, inconstâncias, covardias e decepções. São as palavras que permeiam os encantadores personagens. Estou apaixonado pelo Bobby, sempre com seu olhar de pós-vida, sua calma de que no fim há apenas o fim.</t>
  </si>
  <si>
    <t>Mohsin Hamid</t>
  </si>
  <si>
    <t>Como ficar podre de rico na Ásia Emergente</t>
  </si>
  <si>
    <t>Brilhante formato de obra que nos pega pela mão, nos guia por caminhos que achamos estar seguros e somos completamente jogados no caos e confusão de uma metrópole em formação repleta de fracassos e falcatruas. O sucesso é feito de sorte, golpes e mesmos fracassos, pois o protagonista só finalmente atingiu seu real sucesso no final, quando todos os seus fracassos se acumularam. A ironia e o deboche do título me ganhou aí.</t>
  </si>
  <si>
    <t>Monty Roberts</t>
  </si>
  <si>
    <t>O Homem que Ouve Cavalos</t>
  </si>
  <si>
    <t>Achei incrível a sensibilidade deste Cowboy, Monty Roberts, que por fascínio e respeito a estes animais se recusou a utilizar métodos violentos de controle e encontrou comportamentos sutis que determinava a linguagem dos cavalos. É um primor da etologia e dos respeitos aos animais. Um exemplo de como cruéis por falta de conhecimentos e arcaísmo, ainda com a mentalidade que todas as espécies são para usufruto da espécie humana. Este homem me comoveu com sua história, com sua ligação e semelhança com os cavalos pela forma que foi criado e pelos maus-tratos, e, ao invés de se revoltar, revolucionou o trato com cavalos. Minha unica crítica negativa e a forma de classificar os animais com sentimentos e comportamentos humanos, esta espécies apresenta formas próprias de relacionamento.</t>
  </si>
  <si>
    <t>Nadifa Mohamed</t>
  </si>
  <si>
    <t>Menino Manba-Negra</t>
  </si>
  <si>
    <t>Filho sem pátria, sobrevivente a vagar no deserto da depravação da guerra. Lutar pelo mínimo e perder tudo inúmeras vezes. Jogado fora de seu lar, sobrevive. Acho um grande paralelo aos moradores de ruas das grandes cidades, quase todos negros, descendentes de mesmos povos africanos retirados de sua pátria e família e condenados a vagar e viver por migalhas.</t>
  </si>
  <si>
    <t>Natacha Appanah</t>
  </si>
  <si>
    <t>Trópico da Violência</t>
  </si>
  <si>
    <t>Subúrbio político, econômico e geográfico. Isolado e juvenil, as regras de violência e força, de superstição e imaginação. Por fim, o djinn tanto existe como exerceu o medo a ele atribuído.</t>
  </si>
  <si>
    <t>Natalia Ginzburg</t>
  </si>
  <si>
    <t>Todos os Nossos Ontens</t>
  </si>
  <si>
    <t>Incrível a sensação de familiaridade que essa obra proporciona, principalmente em tempos atuais. O renascimento dos pensamentos autoritários e racistas do fascismo, os falsos heróis moralistas e cobertos de crimes de ódio, a manipulação da informação e a criminalização da luta pela liberdade. Ainda os aspectos sociais de fascistas por conveniência, a massa silenciosa mesmo que incomodada, a sensação de que existe problema, mas que está longe demais para se tomar uma posição até ser tarde demais e os poucos que gritam alto demais, mas que representam menos que 30%. Foi um posicionamento elegante da TAG, que apesar das polêmicas de não ser posicionar e convidar ao não debate político, mm mostrou se ponto de vista.</t>
  </si>
  <si>
    <t>Neil Gaiman</t>
  </si>
  <si>
    <t>Deuses Americanos</t>
  </si>
  <si>
    <t>A personificação dos deuses antigos e novos, a luta pela sobrevivência e um grande golpe revela bem a essência do povo americano, desde suas ambições desmedidas até a passividade com que aceitam as adversidade.</t>
  </si>
  <si>
    <t>Neil Young</t>
  </si>
  <si>
    <t>Neil Youg a Autobiografia</t>
  </si>
  <si>
    <t>Noites tropicais: Solos, improvisos e memórias musicais</t>
  </si>
  <si>
    <t>As indas e vindas da arte, o fluxo criativo dos mais lives aos períodos mais conturbados, a sociedade de elite e monopolizadora da arte de massa, tudo isso é descrito de forma leve e quase confecional por Nelson Motta.</t>
  </si>
  <si>
    <t>O Casamento</t>
  </si>
  <si>
    <t>O preconceito, o machismo, a hipocrisia e a loucura cruelmente expostas até os nervos no romance do emblemático Nelson Rodrigues. Nesta história ninguém é perfeito, muito pelo contrários, canalhas e perversos sucedem na narrativa causando risadas, angústia e asco.</t>
  </si>
  <si>
    <t>Ngũgĩ wa Thiong’o</t>
  </si>
  <si>
    <t>Sonhos em Tempos de Guerra</t>
  </si>
  <si>
    <t>O mais espetacular desse livro e a ótica infantil de normalizar tanto caos em sua volta. Jovem demais para perceber entendia as guerras, o genocídio e a segregação como algo cotidiano, lutando dia após dias para sobreviver e estudar. Seria muito fácil para o autor cair no piegas, mas ele trata sua memória com um emocional inteligente, mais sobre sua perspectiva pessoal infantil do que pela conjuntura do cenário.</t>
  </si>
  <si>
    <t>Nguyễn Phan Quế Mai</t>
  </si>
  <si>
    <t>As Montanhas cantam</t>
  </si>
  <si>
    <t>Acostumado com a retórica propagandista americana, fui surpreendido por um Vietnã repleto de pérolas de sabedoria e paciência, algo para se trazer para a vida. De uma história recente repleta de invasões e barbaridades, que, mesmo que criando monstros, não destruiu o altruísmo e o senso de comunidade entre o povo que se chamam de irmão e irmã, tios e avós entre si. Os foram construídos nessa forja do sofrimento, renúncia e perdas, sem perder o senso de família e o norteamento dado pelo caráter e respeito aos ancestrais, principalmente a avó Diéu Lan, espinha dorsal da família e da história.</t>
  </si>
  <si>
    <t>Nick Hornby</t>
  </si>
  <si>
    <t>Igualzinho a Você</t>
  </si>
  <si>
    <t>Diante da dualidade política contemporânea o autor encontra sua história de amor. As diferenças nem sempre são forças de divergência e afastamento e o autor lembra que esse território pode ser fértil em sentimento e aprendizagem. E nos coloca na perspectiva de, muitas vezes, criarmos problemas decorrente da ansiedade do que está a frente, antecipando um problema que sequer possa ocorrer. Outro destaque foram os diálogos criados a partir de perguntas à navalhas cirúrgicas. Questões que chegavam no âmago, sem tempo a perder com rodeios.</t>
  </si>
  <si>
    <t>Nicolai Gógol</t>
  </si>
  <si>
    <t>O Capote</t>
  </si>
  <si>
    <t>Brilhante texto sobre a mediocridade humana, desde a falta de amor-próprio a arrogância sobre outros.</t>
  </si>
  <si>
    <t>Nikolaj Frobenius</t>
  </si>
  <si>
    <t>Vou Lhe Mostar o Medo: o Mistério de Edgar Allan Poe</t>
  </si>
  <si>
    <t>O autor mescla fantasia com personagens históricos dando boas dimensões aos personagens. A humanidade de Poe é bem construída, mas achei fraco o seu vitimismo. Samuel ficou superficial e o fato de ser albino o deixou ainda mais caricato. O melhor personagem é o insuportável do Griswold.</t>
  </si>
  <si>
    <t>Nikos Kazantzáskis</t>
  </si>
  <si>
    <t>Vida e Proeza de Aléxis Zorbás</t>
  </si>
  <si>
    <t>Leve romance que conta a despretensiosa vida de um escritor amante de leituras com profundas questões existenciais e um velho e simples grego que aprendeu a viver a apreciar a vida na prática. o choque dos dois personagens formados em polos tão distantes revela, para nós, leitor, uma complexa humanidade. Livro com uma delicadeza absolutamente linda, crua e cruel como o início do século XX.</t>
  </si>
  <si>
    <t>Oliver Bowden</t>
  </si>
  <si>
    <t>Assassin's Creed: Renascença</t>
  </si>
  <si>
    <t>Decepcionante, uma pena! História previsível, heroísmo exacerbado, conceito fraco, diálogos vazios. De forma positiva, talvez, ler o livro me dava a idéias de um jogo de vídeo-game.</t>
  </si>
  <si>
    <t>Orhan Pamuk</t>
  </si>
  <si>
    <t>A Mulher Ruiva</t>
  </si>
  <si>
    <t>A subjetividade da narração esconde verdadeiros propósitos. Seria a Mulher Ruiva o destino traçando seus planos? Seria ela expectadora ou agente? Jocasta ou Esfinge? Qual a sua relação com seu filho? Ao usar primeira pessoa Orhan nos permite duvidar de seu relato. Seria ela amante de seu filho? OU seria tudo apenas obra do trágico destino? O melhor desse romance é sua total falta de definição do propósito dessa personagem fascinante.</t>
  </si>
  <si>
    <t>Oriana Ramunno</t>
  </si>
  <si>
    <t>O Menino que Desenhava as Sombras</t>
  </si>
  <si>
    <t>Das masmorras da barbárie humana um crime é investigado e, a cada passo, mais se revela até onde vai a crueldade humana. Livro que causa indignação e revolta, que nos traz um leve acalanto em meio a desumanização. E, além de tudo, nos mostra até que pondo chegamos como humanidade quando há omissão.</t>
  </si>
  <si>
    <t>Oscar Wilde</t>
  </si>
  <si>
    <t>O Retrato de Dorian Gray</t>
  </si>
  <si>
    <t>Tensão homoerótica, superficialidade de comportamento, vangloria da beleza e da corrupção. O livro trata de forma ácida e irônica uma sociedade surpreendentemente atual.</t>
  </si>
  <si>
    <t>Pablo Neruda</t>
  </si>
  <si>
    <t>Uma Casa na Areia</t>
  </si>
  <si>
    <t>Letra de sal e mar, texto de pedra molhada e dura. A poesia é como as plantas dos rochedos, de arestas longas e belas flores. Sentimos Neruda isolado, mas de uma forma confortável, finalmente livre, uma gota no mar tumultuado.</t>
  </si>
  <si>
    <t>Fulgor e Morte de Joaquín Murita</t>
  </si>
  <si>
    <t>Opressão, preconceito e luta é a matriz com que se cria o bandoleiro altino. Desde Lampião e Zapata, Murieta lutou e morreu por junstiça.</t>
  </si>
  <si>
    <t>Pablo Zorzi</t>
  </si>
  <si>
    <t>Colheita de Ossos</t>
  </si>
  <si>
    <t>Crime em área rural, cidade pequenas e todos se conhecem, a polícia não esperava por isso. Com esse enredo Pablo cria um bom protagonista que cru enfrenta seu primeiro grande crime. Fragilizado pela saúdo e inseguro de suas escolhas, mas com um sexto sentido dispensável. Esse crime conta com um importante adendo de células nazi-fascistas no Brasil, apesar de achar pouco explorado, um pouco decepcionante. Assim como a resolução surtada que enfraquece bem o fim da história. Lívia e Fiore beiram a caricatura, apesar de satisfatoriamente envolventes. Por fim, um bom livro, ambientado belissimamente no oeste catarinense, que venha mais histórias de Hugo.</t>
  </si>
  <si>
    <t>Patrick de Witt</t>
  </si>
  <si>
    <t>Os Irmãos Sisters</t>
  </si>
  <si>
    <t>Um romance western dissecado a nível psicológico onde irmãos unidos por uma tragédia perpetuam uma vida de morte, ganhos e inúmeras perdas. Personagens diferentes, um frio e maligno e outro emotivo e tempestuoso, mas apenas um se transforma no final da jornada.</t>
  </si>
  <si>
    <t>Patrick Dennis</t>
  </si>
  <si>
    <t>A Mulher do Século</t>
  </si>
  <si>
    <t>Tia Mame me marcou e, com certeza, Patrick estava certo em dizer que ela era uma personagem inesquecível. Mame representa o século XX, cheio de afetações, de desperdício e criatividade. É a mulher que mesmo no começo do século, já se colocava de igual para igual com os homens do entorno, ocupando espaço que marcou a luta feminina que, talvez hoje, a alcançou. Privilegiada, consciente, inconsequente, um resumo de uma parte da hipócrita elite americana que no alto de sua torre vê os problemas, comenta sobre ela, mas pouco faz ou pouco consegue fazer de fato. Mame era livre das amarras e pressões dos outros, mas não das expectativas que ela mesma se colocava, principalmente na estética. Patrick, por sua vez, era pouco livre e cresceu, apesar da liberdade, amarrado a convenções se tornando muito perto do que foi seu pai. Mame era uma palhaça, criticava a todos, aceita papeis ao ponto da humilhação. Dei altas gargalhadas com a cavalgada na égua assassina, com direito a galinhas na cabeça ao estilo do Pateta e tudo. Viva Mame, a mulher do século!</t>
  </si>
  <si>
    <t>Patrick Rothfuss</t>
  </si>
  <si>
    <t>O Nome do Vento</t>
  </si>
  <si>
    <t>História que segue a trajetória trágica e heróica de um herói em moldes poucos convencionais. O sofrimento poliuretano seu caráter e a esperteza tornou-se sua maior arma. Boa história e muito bem escrita, no entanto, achei o heroísmo exacerbada cansativo.</t>
  </si>
  <si>
    <t>O Temor do Sábio</t>
  </si>
  <si>
    <t>Maravilhosa obra construída por Patrick Rothuss! Kvothe passou por cada um dos temores do sábio, enfrentou o mar tempestuoso, a noite sem luar e a ira de um homem gentil (nesse caso de uma mulher). Fantasia que teve cultura, linguagem, artes marciais, magia interessantíssimas e, além disso tudo, o imenso charme do protagonista! Fantástico!</t>
  </si>
  <si>
    <t>Patti Smith</t>
  </si>
  <si>
    <t>Só Garotos - Just Kids</t>
  </si>
  <si>
    <t>Vidas de talentosos artistas destinados a romperem o paradigma estético vigente contados em uma perspectiva interna com a delicadeza de revelar o crescimento artístico mútuo.</t>
  </si>
  <si>
    <t>Devoção</t>
  </si>
  <si>
    <t>Entre seus pensamentos sobre os motivos de escrever floresce uma triste história de violência, amor incondicional e o custo da liberdade... A história da patinadora me pegou de surpresa.</t>
  </si>
  <si>
    <t>Paula Hawkins</t>
  </si>
  <si>
    <t>Em Fogo Lento</t>
  </si>
  <si>
    <t>Paula amarra seu texto com múltiplos suspeitos, jogando a motivação entre todos eles e não revelando a personalidade da vítima. Com pouca informação vagamos decidindo culpados para logo depois eximi-los dessa culpa e atribuir a outro, uma ciranda à Agatha Christie.</t>
  </si>
  <si>
    <t>Paulo César Araújo</t>
  </si>
  <si>
    <t>Roberto Carlos em Detalhes</t>
  </si>
  <si>
    <t>Um ícone revelado a contra-gosto. Humanizado e por isso mesmo revelando-se grandioso. Apenas um insensível, talvez surdo, não percebe o tamanho do homem que se tornou rei pela vontade do povo, de todo o povo, rico e pobre, norte e sul.</t>
  </si>
  <si>
    <t>Penny Hancock</t>
  </si>
  <si>
    <t>Eu Não Sei Quem Você É</t>
  </si>
  <si>
    <t>Afinal, quem nos somos e quem são as pessoas em nossa volta? Vemos e construímos quantas máscaras e quão forte são estas máscaras diante de uma situação de pressão? São essas as questões que Penny Hancock deixou em sua obra. A forma que as mães se enxergar com os filhos e com outras mães. A construção da identidade dos jovens que ainda não sabem eleger a real importância e o perigoso espaço que isso proporciona tanto a predadores quanto para problemas psicológicos (como depressão ou comportamento suicida).</t>
  </si>
  <si>
    <t>Peter Clines</t>
  </si>
  <si>
    <t>Ex-heróis</t>
  </si>
  <si>
    <t>Gostei do tom de HQ, da história rápida e leve. Mas achei muito superficial, enredo pouco amarrado, personagens sem profundidade e caricatos. Ou seja, uma literatura pipoca.</t>
  </si>
  <si>
    <t>Philip Roth</t>
  </si>
  <si>
    <t>Nêmesis</t>
  </si>
  <si>
    <t>Cantor é uma pessoa de extraordinário coração, mas é um personagem burro. Limitado em raciocínio procurar respostas a perguntas fazendo associações simples e curtas. E, nessa simplicidade diante de uma pandemia com suas inúmera variáveis, colapsa e toma para si a responsabilidade sobre algo que muito maior que uma simples pessoa. Carregar o fardo sobre algo gigantesco destruiu sua vida e sua fé.</t>
  </si>
  <si>
    <t>Rachael de Queiroz</t>
  </si>
  <si>
    <t>As Três Marias</t>
  </si>
  <si>
    <t>Essas Marias tão comuns,simples, tão ordinárias em suas vidas e, por isso mesmo, tão possíveis e tão próximas.</t>
  </si>
  <si>
    <t>Rachel M. Harper</t>
  </si>
  <si>
    <t>Este lado de Providence</t>
  </si>
  <si>
    <t>Cristo, nosso pequeno Atlas que tenta sustentar todo seu mundo nas próprias costas. Amaldiçoado pelo senso de dever, a necessidade de sobreviver e amadurecer, a uma família desestruturada. Cabe a ele o mundo em seu próprio mundo. Cabe suportar a mãe perdida, apoiar a irmã também desamparada, amar a caçula sorridente, preencher o coração da professora e de Snowman, ser estatística e sobreviver as armadilhas. Um verdadeiro herói. P.S.: Leria um livro todinho sobre o Snowman também.</t>
  </si>
  <si>
    <t>Rainer Maria Rilke</t>
  </si>
  <si>
    <t>Cartas a um Jovem Poeta</t>
  </si>
  <si>
    <t>Nota-se que são correspondência entre poetas. A profundidade dos conselhos, os pedidos de percepção e paciência, uma grande dose de olhar.</t>
  </si>
  <si>
    <t>Ransom Riggs</t>
  </si>
  <si>
    <t>O Orfanato da Srta. Peregrine Para Crinaças Peculiares</t>
  </si>
  <si>
    <t>Mais um livro onde o personagem principal é deslocado socialmente e percebe-se especial e precisa esconder este segredo junto com outros especias (seguindo a bem-sucedida fórmula de Harry Potter). Neste caso, a um forte paralelo com a segunda guerra mundial e a perseguição dos nazista ao povo judeu. Boa leitura infanto-juvenil.</t>
  </si>
  <si>
    <t>Raymond Flood e Robin Wilson</t>
  </si>
  <si>
    <t>Os Grandes Matemáticos</t>
  </si>
  <si>
    <t>Coletânea com uma curta biografia e a importância de importantes homens e mulheres na história da matemática. Bom panorama da matemática antiga e os caminhos acumulativos dessa ciência tão natural e tão abstrata!</t>
  </si>
  <si>
    <t>Renan Silva</t>
  </si>
  <si>
    <t>A Voz que Ninguém Escutou</t>
  </si>
  <si>
    <t>Um mistura de índice cronológico da contemporaneidade com panfletagem. Renan trabalha com temas incríveis e importante, mas apenas em sua superficialidade drenando qualquer emoção, simplificando discussões e esvaziando os personagens. Uma oportunidade perdida.</t>
  </si>
  <si>
    <t>Renata Belmonte</t>
  </si>
  <si>
    <t>Mundos de uma Noite Só</t>
  </si>
  <si>
    <t>A violência geracional da construção do masculino e feminino em uma ótica machista. Tudo é permitido aquele detentor do valor macho, tudo é privado a detentora do feminino. Quanto se pode sacrificar em nome desse sistema? Como punir quem foge da conveniência? Qual o limite entre o feminino e masculino? O preço é alto para todos, ninguém é feliz em um sistema opressor, ninguém sobrevive ao rolo compressor social.</t>
  </si>
  <si>
    <t>Ricardo Viel</t>
  </si>
  <si>
    <t>Sobre a Ficção. Conversas com Romancistas</t>
  </si>
  <si>
    <t>Perguntas inteligentes e repostas abrangentes. Muito aprendi sobre o universo de compor universos.</t>
  </si>
  <si>
    <t>O Ladrão de Raios</t>
  </si>
  <si>
    <t>Não gosto da forma banal como Rick Riordan trata a mitologia nem muito de certas situações abestalhadas, mas ao mesmo tempo me agrada a escrita leve e rápida. Uma mistura de entretenimento absurdo com banalidade. Também não posso negar a vontade de continuar lendo a história para vê o que vai dar. De qualquer forma é melhor ler do que ignorar.</t>
  </si>
  <si>
    <t>O Mar de Monstros</t>
  </si>
  <si>
    <t>Deuses estereotipados, aliás, tipos estereotipados. Sua fraqueza é seu triunfo, pois suas divindades obvias consegue descrever exatamente a sua função mitológica, serem um espelho distorcido dos homens. Mas, ainda sim, não gosto da forma despretensiosa que o autor trata ícones mitológicos.</t>
  </si>
  <si>
    <t>Robertson Frizero</t>
  </si>
  <si>
    <t>Longe das Aldeias</t>
  </si>
  <si>
    <t>Como um livro tão pequeno, no tamanho de suspiro, pode nos tirar tanto o ar por tanto tempo? Poucas palavras, mas imenso e força.</t>
  </si>
  <si>
    <t>Roddy Doyle</t>
  </si>
  <si>
    <t xml:space="preserve">Paddy Clarke Ha Ha Ha </t>
  </si>
  <si>
    <t>Junto com Paddy Clarke mergulhamos em sua vida juvenil onde as relações familiares, com amigos e pessoal é exposta de forma crua e natural. Somos imediatamente imersos em sentimentos saudosistas de nossas fantasias, "leis" e motivações. Cruel, belo e verdadeiro.</t>
  </si>
  <si>
    <t>Rosa Monteiro</t>
  </si>
  <si>
    <t>A Louca da Casa</t>
  </si>
  <si>
    <t>Texto simples, histórias contadas com enxurradas de ficção justificada pelo verdadeiro fato que nós nos vemos pintados por tintas de ficção, com olhos distantes da realidade precisa. Ainda falando de olhos irreais a autora disserta sobre o ato de escrever, as fantasias vivias do romance ficcional e as expectativa sobre a obra.</t>
  </si>
  <si>
    <t>Ruth Guimarães</t>
  </si>
  <si>
    <t>Água Funda</t>
  </si>
  <si>
    <t>O mais incrível da brasilidade é sentir a proximidade com as histórias e com o lexo sendo criado no interior do Espírito Santo. Ler o livro era como passar as manhãs com meu avô, tomando café melado e ouvindo suas histórias. Fui criado ouvindo sobre a Mãe do Ouro, sobre história de fazendas antigas decadentes, assombrações de estradas. Entender essa ingenuidade violenta do interiorano, honra acima de tudo, simplicidade da ignorância. Realmente um livro gigante!</t>
  </si>
  <si>
    <t>Sadeqa Johnson</t>
  </si>
  <si>
    <t>Pheby</t>
  </si>
  <si>
    <t>Apesar do importantíssimo conceito histórico e a sempre pertinente visitação do período escravocrata, que deve ser sempre lembrado para ser combatido seus frutos podres como racismo, misogenia e outros, Sadeqa Johnson não alcançou o que queria. Ao espelhar seu livro na literatura da época em que passa a história, uma espécie de romantismo superficial com realismo desesperado, a autora aplainou a carga dramática ao expor os tormentos, mas não o trabalhar. A amplitude de dor e amor ocorrido na história surtia poucos efeitos práticos na história. A vilania era pura existência rasa e o heroísmo abobalhado. Uma pena ela não ter conseguido explorar melhor um tema tão importante e uma história tão extraordinária.</t>
  </si>
  <si>
    <t>Samantha Dowing</t>
  </si>
  <si>
    <t>Minha Adorada Esposa</t>
  </si>
  <si>
    <t>A transitoriedade entre a mediocridade da família branca de classe média americana para a mente criminosa é muito bem feita. Destaque para "Tobias", um fracassado em crise, e para Millicent, a estonteante esposa. Mas fiquei na dúvida, será o narrador confiável?</t>
  </si>
  <si>
    <t>Sarah Penner</t>
  </si>
  <si>
    <t>A Pequena Loja de Venenos</t>
  </si>
  <si>
    <t>Empolgante a investigação que da mesma forma que era um escape, também era um solucionador, dado os ecos do passado e do perpétuo sofrimento e desamparo dado a mulheres em diferentes épocas. A história ficava entre as coincidências convenientes, dado os tímidos toques de realismo fantástico. Mas ficou no meio termo entre esse realismo fantástico e um romance convencional, preso nesse limbo, a obra não pode crescer de forma adequada. Gostaria que a autora tivesse mais coragem na fantasia ou se prendesse melhor na realidade.</t>
  </si>
  <si>
    <t>Scott Lynch</t>
  </si>
  <si>
    <t>As Mentiras de Locke Malora</t>
  </si>
  <si>
    <t>As mentiras de Locke Lamora nos coloca em uma perspectiva nova, o submundo de um mundo de fantasia. Vivendo como sacerdote falsário ele desbrava excelente relações sociais de mundo nem tão medieval assim.</t>
  </si>
  <si>
    <t>Mares de Sangue</t>
  </si>
  <si>
    <t>Os falsários se enrolam com uma história muito complexas. As camadas de mentiras se enrolam no enredo tornando-o lento em sua segunda metade forçando uma conclusão rápida e conveniente demais. Porém, ainda é delicioso o espectro do falsário na fantasia.</t>
  </si>
  <si>
    <t>Sefi Atta</t>
  </si>
  <si>
    <t>Tudo de Bom Vai Acontecer</t>
  </si>
  <si>
    <t>Me foi apresentado uma Lagos moderna, urbana, mutável e conturbada. Caldeirão de povos e culturas, sofrimento e alegrias, corrupção, machismo e nobreza. A Nigéria tão grande e populosa, tão cultural, e ainda é uma pequena pincelada do grande continente da África, que, muitas vezes, foi posta simplificada e caricata!</t>
  </si>
  <si>
    <t>Seni Gleister</t>
  </si>
  <si>
    <t>Uma Nova Chance para o Sr. Doubler</t>
  </si>
  <si>
    <t>O que parece enfadonho se transforma em uma bela e delicada história de recomeço. Não há idade para uma nova chance!</t>
  </si>
  <si>
    <t>Shari Lapena</t>
  </si>
  <si>
    <t>Alguém que Você Conhece</t>
  </si>
  <si>
    <t>Lapena nos faz duvidar de nosso julgamento o tempo todo. A culpa é transferida o tempo todo de personagens que nunca são totalmente livres de nosso julgamento. Todo mundo é suspeito, ninguém passa incólume da sinuosa trama. Um grande acerto. (obs.: A personagem da Olívia é intragável, mas não atrapalhou a experiência ehheheh)</t>
  </si>
  <si>
    <t>Shelby Van Pelt</t>
  </si>
  <si>
    <t>Criaturas Extraordinariamente Brilhantes</t>
  </si>
  <si>
    <t>Van Pelt trabalhou de forma muito interessante o conceito de família, tanto laços de sangue quanto de família escolhida. Com bastante realismo tratou as pessoas como são, defeitos e qualidades, acertos e erros, principalmente aqueles distantes. Posso incluir Marcellus como parte da família, claro. Mas o ponto de vista molusco achei caricato, só faltou descrever o bigode, uma cartola e um monóculos para suas elaborações arrogantes no aquário. Mas fora a personalidade, sua condição de cativo me marcou, todos ali eram cativos. Marcellus no aquário, Tova de seu filho, Cameron de sua mãe, essa condição ecoava forte entre os três protagonistas. Apesar da condição de parentesco óbvia, a forma de contar foi bela, um verdadeiro sacrifício para o nascimento de uma relação até então negada.</t>
  </si>
  <si>
    <t>Sigrid Nunez</t>
  </si>
  <si>
    <t>Os Vulneráveis</t>
  </si>
  <si>
    <t>A quebra da barreira entre o romance e escrever o romance foi sensacional. A alma foi disposta, a verdade nua e crua. O quão agoniante foi a solidão em tempo de covid, para personagem e autora, para todos, afinal. Éramos todos vulneráveis.</t>
  </si>
  <si>
    <t>Silas House</t>
  </si>
  <si>
    <t>Southernmost - Rumo ao sul</t>
  </si>
  <si>
    <t>Livro de transformação e libertação. No entanto, o personagem principal se mostra sempre covarde e irresponsável.</t>
  </si>
  <si>
    <t>Simone AZ</t>
  </si>
  <si>
    <t>Dakota Blues</t>
  </si>
  <si>
    <t>Jornada incrível cerceada tanto de morte quanto por muita vida. Crescer junto de Alice  de seus coadjuvantes foi engrandecedor. Cada acerto e cada erro, cada decepção e conquista me foi sentida por dentro. Grande obra.</t>
  </si>
  <si>
    <t>Socorro Acioli</t>
  </si>
  <si>
    <t>Oração para Desaparecer</t>
  </si>
  <si>
    <t>De todos os entendimentos e simbologias evocadas por Socorro, o que me prendeu foi a imigração. O nascimento de Cida em terra distante, desmemoriada, fragilizada e desamparada me fez pensar muito naqueles que partem. Como sobreviver em terra nova, como entender e sem entendido, como não contar com ninguém, sozinhos, reaprendendo a viver. Longe do nosso centro perdemos bastante de quem somos, adaptamos a novos climas meteorológicos e sociais, fauna, flora e cultura exótica. Todos nossos instintos afiados para outra realidade. Já o renascer de Joana eu vi como o entendimento de nossa realidade como brasileiro. O que carregamos de nossa cultura, religião e história. A fortaleza de sermos o que somos a partir do que nos construímos. Essa base nos permite a completude, de, por fim, bastarmos.</t>
  </si>
  <si>
    <t>Stacy Willingham</t>
  </si>
  <si>
    <t>Uma Centelha na Escuridão</t>
  </si>
  <si>
    <t>Trama inteligente, cenário bacana, revelação interessante, mas me cansava os pensamentos retumbantes da protagonista. Emoções e lembranças que batiam e ecoavam e ecoavam várias vezes de forma massante.</t>
  </si>
  <si>
    <t>Stefan Zweig</t>
  </si>
  <si>
    <t>Êxtase da Transformação</t>
  </si>
  <si>
    <t>Riqueza, nobreza, luxo são ilusões. Estado, poder e direito também o são. Só a miséria é real e encará-la e desesperadora.</t>
  </si>
  <si>
    <t>Stefano Volp</t>
  </si>
  <si>
    <t>O Beijo do Rio</t>
  </si>
  <si>
    <t>Stefano, para mim, escreveu o enredo seu enredo policial em umas das maiores zonas cinzas atuais, as seitas que utilizam de alguma forma de sagrado para manipular, extorquir ou violentar suas vítimas. Essas corporações que são promessas de vida e milagres, que utilizam do desespero ou da vontade de fazer parte de algo para aliciar pessoas e praticar perversidades. O profeta Euclides não difere de um João de Deus, um dos últimos casos famosos noticiados.</t>
  </si>
  <si>
    <t>Stendhal</t>
  </si>
  <si>
    <t>O Vermelho e o Negro</t>
  </si>
  <si>
    <t>Excelente livro que mergulha na mente do personagem Julien Sorel, um ambicioso homem a frente de seu tempo que demonstra claro entusiasmo a Revolução Francesa. Livro de transição entre o romantismo, como demonstrado na primeira parte e no final da segunda parte do livro, e realismo. em toda obra onde a ambição e o uso das faculdades psíquicas são sobrepostas ao romantismo. Uma obra indiscutivelmente necessária.</t>
  </si>
  <si>
    <t>Steve Cavanagh</t>
  </si>
  <si>
    <t>Pactos Mortais</t>
  </si>
  <si>
    <t>Uma história intrincada e nada preguiçosa. Alguns pontos eram óbvios, mas outros me causou bastante surpresa. O tema é incrível, Hitchcock é um gênio e uma grande fonte de inspiração. Vingança, dor e delírio também são bons temas para explorar. Mas, por fim, achei o final estranho com o psicopata heroico.</t>
  </si>
  <si>
    <t>Stuart Torton</t>
  </si>
  <si>
    <t>As Sete Mortes de Evelyn Hardcastle</t>
  </si>
  <si>
    <t>Não tenho dúvidas que o Diabo está tomando notas. Pouca se sobra quando não se sabe quem é você e em que tempo se está.</t>
  </si>
  <si>
    <t>Sue Monk Kidd</t>
  </si>
  <si>
    <t>O Livro dos Anseios</t>
  </si>
  <si>
    <t>Anseio é uma palavra poderosa. Molda pessoas e cenário, a história e futuro. Esse desejo interno tão poderoso é amplificado com a negação a essa vontade, sendo Ana e sua tia Yalta lutadores ferozes e transformadoras potentes de seus entornos. O mesmo ocorre com Jesus, este um homem com menos proibições femininas, mas a ele é negado a dignidade por ser um proscrito, por ser pobre e por querer a liberdade do julgo romano/nobreza judaica. O pai de Ana desejava a riqueza, sua mãe um status não vindo de nascença. Judas queria o mesmo que Jesus, mas seu anseio era de violência. Todos os personagens foram moldados por seus sonhos e pagaram as consequências disso.</t>
  </si>
  <si>
    <t>Suzanne Redferarn</t>
  </si>
  <si>
    <t>Hadley &amp; Grace</t>
  </si>
  <si>
    <t>Svetlana Aleksiévitch</t>
  </si>
  <si>
    <t>As Últimas Testemunhas</t>
  </si>
  <si>
    <t>Devastador com a visão infantil do pior da humanidade. A infância foi massacrada por ideais egoísta de alguns adultos arrogantes. Um crime irreparável!</t>
  </si>
  <si>
    <t>O Fim do Homem Soviético</t>
  </si>
  <si>
    <t>A vida é um ilusão. Te doutrinam quanto a definição de liberdade, felicidade e lealdade. Se constrói muros de possibilidade, barreiras de certezas, caminhos de verdade, mas tudo isso é construção social. Somos o que fomos levado a crer quem somos e quando isso tudo desmorona conhecemos a verdade, somos desoladamente agressivos. Foi assim com o fim da União Soviética, a verdade foi falida, mas a nossa verdade também será.</t>
  </si>
  <si>
    <t>Tara. M. Stringfellow</t>
  </si>
  <si>
    <t>Memphis</t>
  </si>
  <si>
    <t>A estrutura da desigualdade escancarada. A mulher preta desprestigiada em oportunidade tem os sonhos esmagados por duas gerações. Tanto talento que não foi reconhecido. A família desintegrada por racismo, seja ele direto ou estrutural. Seja por crimes a favor ou contra o estado. Mulheres que apesar das agruras mantem-se firmes, lágrimas rolam, mas continuam para frente. É seguir ou morrer, não tem o privilégio da tristeza derrota.</t>
  </si>
  <si>
    <t>Tarryn Fisher</t>
  </si>
  <si>
    <t>Stalker</t>
  </si>
  <si>
    <t>Tatiana Țîbuleac</t>
  </si>
  <si>
    <t>O verão em que mamãe teve olhos verdes</t>
  </si>
  <si>
    <t>Viver a borda da decadência mental e vital, os personagens se permitem, finalmente, se olhar. A morte os aproxima a vida mais do que nunca e mais do que tudo. Em três meses preenchem anos de lacuna e esse momento será a base de todo o que vier depois.</t>
  </si>
  <si>
    <t>Tauyese Selasi</t>
  </si>
  <si>
    <t>Adeus, Gana</t>
  </si>
  <si>
    <t>Covardia é o protagonista. Uma covardia de pais, avós e filhos. Uma covardia que cria barreiras de solidão, prisão dentro de si e afastamento dos mais próximos. Covardia de seguir em frente, encarar os problemas, de ficar parado, sempre fugir.</t>
  </si>
  <si>
    <t>Tayari Jones</t>
  </si>
  <si>
    <t>Um Casamento Americano</t>
  </si>
  <si>
    <t>Preso a acordos de diferentes épocas, os personagens se arrastam. A libertação, em diferentes linguagens, os livra.</t>
  </si>
  <si>
    <t>Tayeb Salih</t>
  </si>
  <si>
    <t>Tempo de Migrar para o Norte</t>
  </si>
  <si>
    <t>Taylor Jenkins Reid</t>
  </si>
  <si>
    <t>Os Sete Maridos de Evelyn Hugo</t>
  </si>
  <si>
    <t>O encantador mundo de Hollywood, o glamour e a beleza, tudo é deliciosamente retratado na história de amor de Evelyn (e mais alguns amores paralelos).</t>
  </si>
  <si>
    <t>Terry McMillan</t>
  </si>
  <si>
    <t>Mama</t>
  </si>
  <si>
    <t>Mama, incrível jornada fincada na maternidade. Mildred é a pedra angular e a bússola da família. O epicentro, pois, todos que se afastam de sua presença sem constituir sua própria família se perde. Mas sua presença também é danosa. Endurecida pela vida demonstra amor por atitudes para sustentar a família, mesmo que as vezes, de saco cheio, os veja como inimigos. Geniosa, teimosa, as vezes infantil, mas quase sempre fortaleza. Seu comportamento gera filhos que refletem muito de suas decisões. Todos com um pouco de obstinação e ironia ou pena de si mesmo e impulsividade. Um misto bem verossímil disso tudo. McMillan, com muita competência, escreve diálogos pessoais e íntimos, nos permite entrar no seio da família, nos ver na intimidade familiar desnuda com bom humor e agressividade. E como uma boa história ela ainda pulsa, ainda viva em seu final aberto. Aos acertos e erros, dores e alegrias a vida não acaba no ponto final.</t>
  </si>
  <si>
    <t>A Magia de Holy Wood</t>
  </si>
  <si>
    <t>A sátira de Terry Pratchett chega no auge com "A Magia de Holy Wood" onde se debate a fama, o poder das celebridades, a "magia" do cinema, a arte contra o comércio, e as idéias "brilhantes" por trás dos filmes de sucesso. Pratchett nunca deixou sua Disco World tão próxima do nosso mundo!</t>
  </si>
  <si>
    <t>Quando as Bruxas Viajam</t>
  </si>
  <si>
    <t>Mais uma vez Terry Pratchett cria um mundo sobre ironias e paródias bem reais. As bruxas reféns de seu egos encontram na descrença o seu maio poder. O vilania das histórias infantis são mostradas com clareza. E o cenário misto de conto de fadas tradicionais com uma aproximação de uma região mística (no caso o Nova Orleans) é fantástico.</t>
  </si>
  <si>
    <t>Thomas Bulfinch</t>
  </si>
  <si>
    <t>O Livro de Ouro da Mitologia</t>
  </si>
  <si>
    <t>Fundamental</t>
  </si>
  <si>
    <t>Thomas Hardy</t>
  </si>
  <si>
    <t>Jude, o Obscuro</t>
  </si>
  <si>
    <t>Tanto autor quanto personagens, na margem da dissolução do casamento como contrato religioso para apenas contrato civil, reconhecem o amor como o unico motivo para união, mas pesa no destino a maldição da dissolução do ato sagrado.</t>
  </si>
  <si>
    <t>Thomas King</t>
  </si>
  <si>
    <t>Indígenas de Férias</t>
  </si>
  <si>
    <t>Além da imensa capacidade de quebrar esteriótipos, toda vez que Bird falava "Estamos em Praga" eu pensava na forma que os nativos foram vistos por séculos, como pragas ocupando territórios produtivos e cultuando paganismo. Ou na praga do colonialismo e ter tido por séculos sendo mortos ou tendo tudo tomado por invasores, o surgimentos de doenças como a praga da varíola ou sociais como o alcoolismo, além das recorrentes humilhações e agressões, fonte de doenças mentais. E pensar que agora está acontecendo isso com os povos Yanomamis!!</t>
  </si>
  <si>
    <t>Thomas Mann</t>
  </si>
  <si>
    <t>Tônio Kroeger e a Morte em Veneza</t>
  </si>
  <si>
    <t>As obra são caracterizadas por protagonistas contemplativos, platônicos em seus amores e inseguros em seus poucos atos. Dá-se a entender que o personagens principais são fracos comparados a seus iguais, mais sensíveis e covardes. Uma excelente novela.</t>
  </si>
  <si>
    <t>Thomas Pynchon</t>
  </si>
  <si>
    <t>O Arco-Íris da Gravidade</t>
  </si>
  <si>
    <t>Grande fluxo ideias, desvaneios lisérgico tomado por paranóias e com o que há de pior na humanidade, submundo, contra-cultura! Difícil de ler, ainda mais de digerir, mas, ainda assim, necessário!</t>
  </si>
  <si>
    <t>Thrity Umrigar</t>
  </si>
  <si>
    <t>Honra</t>
  </si>
  <si>
    <t>Honra é criado sobre injustiça, misoginia, ignorância e intolerância. Sendo honra a palavra perfeita para justificar violência e submissão. No entanto, a história se perde em um novelão ultra-romântico que abafa e mesmo desdenha do imenso sofrimento humano que ocorre na história. O cenário é ótimo, o motivo é excelente, mas a trama empobrece tudo. Uma pena.</t>
  </si>
  <si>
    <t>Tomasz Jedrowski</t>
  </si>
  <si>
    <t>Nadando no Escuro</t>
  </si>
  <si>
    <t>A auto-descoberta é um terreno escuro, de água gelada e profunda. Em sociedade opressora é ainda mais desafiadora, tempestade de raios. Como saber quem se é quando não se poder ser nada? Incrível jornada e belíssimo no sentir.</t>
  </si>
  <si>
    <t>Toni Morrison</t>
  </si>
  <si>
    <t>O Olho Mais Azul</t>
  </si>
  <si>
    <t>Sula</t>
  </si>
  <si>
    <t>Sula sofre todas as pressões. De ser negra em um mundo de domínio branco. Por ser mulher em um mundo machista. Livre em um mundo de grilhões morais, socias e religiosos. Dessa pressão ela surge como um diamante, jóia brilhante que ofusca o pálido. Aresta afiada que machuca quem está em sua volta. Cobiçada e invejada. Sofre a solidão de ser especial.</t>
  </si>
  <si>
    <t>Toya Wolfe</t>
  </si>
  <si>
    <t>No Último Verão da State Street</t>
  </si>
  <si>
    <t>Visceral e devastador. Sofrimento que mata inocência, perversidade que transformam crianças e matam infância, mal gerando mal. Onde quando as autoridades são inimigas ou simplesmente dão as costas, a terra se transforma em campo de batalha. O futuro não existe e o agora é sobrevivência. Terra fértil do cruel, pobre criaturas que precisam vivenciar isso. E como isso é familiar ao brasileiro.</t>
  </si>
  <si>
    <t>Trevor Noah</t>
  </si>
  <si>
    <t>Nascido do Crime</t>
  </si>
  <si>
    <t>A construção de um caráter em meio a imbecilidade do aparthaid. A auto-descoberta de ser mestiço, de se sentir negro, mas não ser aceito, de ser naturalmente feliz em meio a destroços sociais e a pobreza.</t>
  </si>
  <si>
    <t>Ulisses Campbell</t>
  </si>
  <si>
    <t>Suzane. Assassina e Manipuladora</t>
  </si>
  <si>
    <t>Romantizado além do necessário. O autor cita fenômenos sobrenaturais, acusações e julgamentos machistas.</t>
  </si>
  <si>
    <t>Vários Autores</t>
  </si>
  <si>
    <t>Uns e Outros: Contos Espelhados</t>
  </si>
  <si>
    <t>Incrível coleção de contos clássicos e que foram, de diversas maneiras, atualizadas.</t>
  </si>
  <si>
    <t>Rua Aribau</t>
  </si>
  <si>
    <t>Delicado e diverso.</t>
  </si>
  <si>
    <t>Escritos Negros: textos contemporâneos</t>
  </si>
  <si>
    <t>Partes de um Corpo</t>
  </si>
  <si>
    <t>Partes de uma Casa</t>
  </si>
  <si>
    <t>Uma Outra História: textos contemporâneos</t>
  </si>
  <si>
    <t>Importantíssimo debater o negro, as Áfricas e o impacto social e cultural do deslocamento do povo africano no mundo!</t>
  </si>
  <si>
    <t>Contos de Horror da América Latina</t>
  </si>
  <si>
    <t>Contos de Humor da América Latina</t>
  </si>
  <si>
    <t>O teatro de banalidades e pequeneza sempre diverte. A cerne latino-americana exposta em absurdos. Marca indelével do colonialismo, herança de pequenos grandes poderes.</t>
  </si>
  <si>
    <t>Virginia Evans</t>
  </si>
  <si>
    <t>A Correspondente</t>
  </si>
  <si>
    <t>As cartão são como balsas no tempo revelando, aos poucos, a hidrografia e os meandros da alma de Sybil. Poderosa e afiada mente já em seu delta.</t>
  </si>
  <si>
    <t>Virginie Despenter</t>
  </si>
  <si>
    <t>Apocalipse Bebê</t>
  </si>
  <si>
    <t>Um mar de deliciosa hipocrisia é o estopim do surpreendente apocalipse. Um pai narcisista e medíocre afamado afamado por palavras, mas miserável sentimentalmente. Uma detetive que repulsa o sexo com outra mulher, mas que se apaixona ao primeiro toque. Uma mãe que constrói novas famílias dando as costas as antigas. Uma freira que finge salvação, mas que dá o apocalipse. Um macho subadulto e machistas, mas que tem medo de meninas, medo de se apaixonar. Isso entro outros incontáveis. Destaque para Hiena, que consegue observar a hipocrisia dos outros, mas que mal consegue disfarçar as suas. Brilhante. (obs.: amei a Hiena, leria qualquer história que tenha ela)</t>
  </si>
  <si>
    <t>Virginie Grimaldi</t>
  </si>
  <si>
    <t>O Que Resta de Nós</t>
  </si>
  <si>
    <t>Com um senso de humor incrível e personagens tremendamente cativantes, Virginie Grimaldi nos leva para dentro desse apartamento dividido e, com isso, para o interior desses personagens tão críveis e tão bem elaborados. Mergulhamos em seus traumas e alegrias, na leveza de cada ser e nas profundezas de seus problemas. Vemos as cordas que os compões se entrelaçando formando uma amizade de firme nó.</t>
  </si>
  <si>
    <t>Uma Vida Bela</t>
  </si>
  <si>
    <t>O amor é como o mar. Abre e cura feridas. Leva pra longe e trás pra perto. Emerge e submerge segredos. O amor fraternal então é mar profundo. Carregado de calmarias e tempestades. Familiar e misterioso.</t>
  </si>
  <si>
    <t>Maior que o Céu</t>
  </si>
  <si>
    <t>O amor, principalmente o amor-próprio, sofre no terreno pedregoso do luto. Amar é se doar, mas, para isso, é preciso ultrapassar a barreira do luto, as correntes da tristeza e permitir-se ser feliz.</t>
  </si>
  <si>
    <t>Virgnia Woolf</t>
  </si>
  <si>
    <t>Gênio &amp; Nanquim</t>
  </si>
  <si>
    <t>Waldson Souza</t>
  </si>
  <si>
    <t>23 Minutos</t>
  </si>
  <si>
    <t>Aventura juvenil muito agradável. Me senti lendo as histórias da Coleção Vaga-Lume, mas com temas atualizados de racismo e homossexualidade. Nada de novo, mas uma jornada agradável de Hugo e seus amigos.</t>
  </si>
  <si>
    <t>Walter Moreira Santos</t>
  </si>
  <si>
    <t>O Ano do Nirvana</t>
  </si>
  <si>
    <t>Na beira do abismo duas almas se encontram. Uma amizade que representa um alívio, um dar de mãos, um suspiro de afago.</t>
  </si>
  <si>
    <t>William Shakespeare</t>
  </si>
  <si>
    <t>Sonho de uma Noite de Verão</t>
  </si>
  <si>
    <t>Referenciada milhares de vezes da televisão, cinema e literatura. Obra basilar ocidental!</t>
  </si>
  <si>
    <t>You Jeong Jeong</t>
  </si>
  <si>
    <t>O Bom Filho</t>
  </si>
  <si>
    <t>Será que vive em fantasia ou será que é um assassino? O mergulho psicológico do livro é fantástico!</t>
  </si>
  <si>
    <t>Zadie Smith</t>
  </si>
  <si>
    <t>Dentes Brancos</t>
  </si>
  <si>
    <t>Por fim, ediapianamente, todas as decisões dos personagens se voltaram contra eles. Não há perdão, não há clemência, apenas as vítimas, quase sempre as gerações mais novas, das cadeias de erros perpetuados.</t>
  </si>
  <si>
    <t>Zeyn Joukhadar</t>
  </si>
  <si>
    <t>O Mapa de Sal e Estrelas</t>
  </si>
  <si>
    <t>O entrelaçamento de histórias confere realismo para o conto histórico e fantasia a história contemporânea. Existe mágica, simbolismo de resistência e vitória, tanto em Nur quanto em Rawiya. Ambas são paralelos, espelhos, sendo a ultima uma construção da primeira. Sendo Rawiya a fortaleza de Nur em meio ao caos.</t>
  </si>
  <si>
    <t>Nevada</t>
  </si>
  <si>
    <t>Salinas</t>
  </si>
  <si>
    <t>Zoologia</t>
  </si>
  <si>
    <t>Nova Jersey</t>
  </si>
  <si>
    <t>Long Island</t>
  </si>
  <si>
    <t>Percy Jackson e os Olimpianos</t>
  </si>
  <si>
    <t>Gênesis</t>
  </si>
  <si>
    <t>Sodoma e Gomorra</t>
  </si>
  <si>
    <t>Tempo/Correspondência</t>
  </si>
  <si>
    <t>N</t>
  </si>
  <si>
    <t>Gllobo</t>
  </si>
  <si>
    <t>Melhoramentos livraria</t>
  </si>
  <si>
    <t>Pré-Homérico</t>
  </si>
  <si>
    <t>Era Vitoriana</t>
  </si>
  <si>
    <t>Londres</t>
  </si>
  <si>
    <t>Verus</t>
  </si>
  <si>
    <t>Chico Editora</t>
  </si>
  <si>
    <t>E-book</t>
  </si>
  <si>
    <t>Rio Grande no Norte</t>
  </si>
  <si>
    <t>Alien</t>
  </si>
  <si>
    <t>Dinastia Plantageneta</t>
  </si>
  <si>
    <t>Nottingham</t>
  </si>
  <si>
    <t>Sherwood</t>
  </si>
  <si>
    <t>Hobbin Hood</t>
  </si>
  <si>
    <t>Crônicas do Fora da Lei</t>
  </si>
  <si>
    <t>Assassin's Creed: Renaissance</t>
  </si>
  <si>
    <t>Assassin's Creed</t>
  </si>
  <si>
    <t>Erinnerungen an die Zukunft</t>
  </si>
  <si>
    <t>Hemus</t>
  </si>
  <si>
    <t>Era Tudor</t>
  </si>
  <si>
    <t>Nobreza</t>
  </si>
  <si>
    <t>Der Tod in Venedig</t>
  </si>
  <si>
    <t>Reino da Itália</t>
  </si>
  <si>
    <t>Veneza</t>
  </si>
  <si>
    <t>A Anarquia</t>
  </si>
  <si>
    <t>Kingsbridge</t>
  </si>
  <si>
    <t>Construção</t>
  </si>
  <si>
    <t>Rei Arthur</t>
  </si>
  <si>
    <t>As Crônicas de Artur</t>
  </si>
  <si>
    <t>Raj Britânico</t>
  </si>
  <si>
    <t>Nova Déli</t>
  </si>
  <si>
    <t>Planeta do Brasil</t>
  </si>
  <si>
    <t>Leya</t>
  </si>
  <si>
    <t>Mente/Tempo</t>
  </si>
  <si>
    <t>Tecnoprint</t>
  </si>
  <si>
    <t>Período Clássico</t>
  </si>
  <si>
    <t>Mente/Primórdio</t>
  </si>
  <si>
    <t>Califórnia</t>
  </si>
  <si>
    <t>Los Angeles</t>
  </si>
  <si>
    <t>Super-Heróis</t>
  </si>
  <si>
    <t>Heróis</t>
  </si>
  <si>
    <t>Inquisição</t>
  </si>
  <si>
    <t>Arqueiro</t>
  </si>
  <si>
    <t>Nave Espacial</t>
  </si>
  <si>
    <t>Geração Editorial</t>
  </si>
  <si>
    <t>Ibrasa</t>
  </si>
  <si>
    <t>Primórdio/Mente</t>
  </si>
  <si>
    <t>Dublinense</t>
  </si>
  <si>
    <t>Monarquia de Julho</t>
  </si>
  <si>
    <t>Verrières</t>
  </si>
  <si>
    <t>TAG</t>
  </si>
  <si>
    <t>Índias Orientais Holandesas</t>
  </si>
  <si>
    <t>Indonésia</t>
  </si>
  <si>
    <t>Samburan</t>
  </si>
  <si>
    <t>Lins de Vasconcelos</t>
  </si>
  <si>
    <t>Incesto</t>
  </si>
  <si>
    <t>Século XX</t>
  </si>
  <si>
    <t>Holy Wood</t>
  </si>
  <si>
    <t>Cinema</t>
  </si>
  <si>
    <t>Genua</t>
  </si>
  <si>
    <t>Dublin</t>
  </si>
  <si>
    <t>La loca de la casa</t>
  </si>
  <si>
    <t>Madri</t>
  </si>
  <si>
    <t>Escrita</t>
  </si>
  <si>
    <t>Invasões Vikings</t>
  </si>
  <si>
    <t>Wessex</t>
  </si>
  <si>
    <t>Notúmbria</t>
  </si>
  <si>
    <t>Viking</t>
  </si>
  <si>
    <t>Crônicas Saxônicas</t>
  </si>
  <si>
    <t>Ar Editora</t>
  </si>
  <si>
    <t>M.Books</t>
  </si>
  <si>
    <t>Século -VI</t>
  </si>
  <si>
    <t>The Children Act</t>
  </si>
  <si>
    <t>Covid 19</t>
  </si>
  <si>
    <t>Wigmore Hall</t>
  </si>
  <si>
    <t>Penguin Books</t>
  </si>
  <si>
    <t>Missouri</t>
  </si>
  <si>
    <t>St. Petersburg</t>
  </si>
  <si>
    <t>Inglês</t>
  </si>
  <si>
    <t>Шинель (Shinel)</t>
  </si>
  <si>
    <t>Βίος και Πολιτεία του Αλέξη Ζορμπά</t>
  </si>
  <si>
    <t>Grua Livros</t>
  </si>
  <si>
    <t>Creta</t>
  </si>
  <si>
    <t>Heraclión</t>
  </si>
  <si>
    <t>Il Gattopardo</t>
  </si>
  <si>
    <t>Risorgimento</t>
  </si>
  <si>
    <t>Sicília</t>
  </si>
  <si>
    <t>Palermo</t>
  </si>
  <si>
    <t>Primeira Guerra Mundial</t>
  </si>
  <si>
    <t>Negra</t>
  </si>
  <si>
    <t>Memória</t>
  </si>
  <si>
    <t>Mitologia Nórdica</t>
  </si>
  <si>
    <t>Biblioteca Azul</t>
  </si>
  <si>
    <t>Massachusetts</t>
  </si>
  <si>
    <t>Mudança</t>
  </si>
  <si>
    <t>Istambul</t>
  </si>
  <si>
    <t>Atlântida</t>
  </si>
  <si>
    <t>Início da Civilização</t>
  </si>
  <si>
    <t>Camorr</t>
  </si>
  <si>
    <t>Os Nobres Vigaristas</t>
  </si>
  <si>
    <t>Brothers</t>
  </si>
  <si>
    <t>República da China</t>
  </si>
  <si>
    <t>Pequim</t>
  </si>
  <si>
    <t>Ditadura</t>
  </si>
  <si>
    <t>Alfaguara</t>
  </si>
  <si>
    <t>Correspondência/Entropia</t>
  </si>
  <si>
    <t>Contra-cultura</t>
  </si>
  <si>
    <t>Oregon</t>
  </si>
  <si>
    <t>Ouro</t>
  </si>
  <si>
    <t>Miss Peregrine's Home for Peculiar Children</t>
  </si>
  <si>
    <t>País de Gales</t>
  </si>
  <si>
    <t>Cairnholm</t>
  </si>
  <si>
    <t>Escola</t>
  </si>
  <si>
    <t>The Joys of Motherhood</t>
  </si>
  <si>
    <t>Nairobi</t>
  </si>
  <si>
    <t>Maine</t>
  </si>
  <si>
    <t>Nigeriana</t>
  </si>
  <si>
    <t>Vozes Negras</t>
  </si>
  <si>
    <t>Noites Tropicais</t>
  </si>
  <si>
    <t>Harlequin</t>
  </si>
  <si>
    <t>Ipanema</t>
  </si>
  <si>
    <t>Mente/Primórdio/Tempo</t>
  </si>
  <si>
    <t>Manji (卍)</t>
  </si>
  <si>
    <t>Era Showa</t>
  </si>
  <si>
    <t>Osaka</t>
  </si>
  <si>
    <t>Pós-Guerra Civil espanhola</t>
  </si>
  <si>
    <t>Catalunha</t>
  </si>
  <si>
    <t>L'Antiga Esquerra de l'Eixample</t>
  </si>
  <si>
    <t>Solidão</t>
  </si>
  <si>
    <t>Entre Guerras</t>
  </si>
  <si>
    <t>Yorkshire</t>
  </si>
  <si>
    <t>Brideshead</t>
  </si>
  <si>
    <t>Das Versprechen</t>
  </si>
  <si>
    <t>Trinta Anos Gloriosos</t>
  </si>
  <si>
    <t>Zurique</t>
  </si>
  <si>
    <t>Psicológico</t>
  </si>
  <si>
    <t>La plaça del Diamant</t>
  </si>
  <si>
    <t>Guerra Civil espanhola</t>
  </si>
  <si>
    <t>Gràcia</t>
  </si>
  <si>
    <t>José Olympio</t>
  </si>
  <si>
    <t>Fortaleza</t>
  </si>
  <si>
    <t>Gravity's Rainbow</t>
  </si>
  <si>
    <t>Bélgica</t>
  </si>
  <si>
    <t>Antuérpia</t>
  </si>
  <si>
    <t>Entropia</t>
  </si>
  <si>
    <t>Delaware</t>
  </si>
  <si>
    <t>Wilmington</t>
  </si>
  <si>
    <t>Violência</t>
  </si>
  <si>
    <t>Temerant</t>
  </si>
  <si>
    <t>Crônicas do Matador do Rei</t>
  </si>
  <si>
    <t>Ecco Press</t>
  </si>
  <si>
    <t>Hotel Chelsea</t>
  </si>
  <si>
    <t>HarperCollins Brasil</t>
  </si>
  <si>
    <t>Georgia</t>
  </si>
  <si>
    <t>Fuga</t>
  </si>
  <si>
    <t>Trilho de Trem</t>
  </si>
  <si>
    <t>The Saddlebag</t>
  </si>
  <si>
    <t>Império Otomano</t>
  </si>
  <si>
    <t>Arábia Saudita</t>
  </si>
  <si>
    <t>Meca</t>
  </si>
  <si>
    <t>Islamismo</t>
  </si>
  <si>
    <t>Stay With Me</t>
  </si>
  <si>
    <t>Geórgia</t>
  </si>
  <si>
    <t>Pikeville</t>
  </si>
  <si>
    <t>Faro Editora</t>
  </si>
  <si>
    <t xml:space="preserve">Washington </t>
  </si>
  <si>
    <t>Seattle</t>
  </si>
  <si>
    <t>Loucura</t>
  </si>
  <si>
    <t>Contracultura</t>
  </si>
  <si>
    <t>Colorado</t>
  </si>
  <si>
    <t>Denver</t>
  </si>
  <si>
    <t>Realidade alternativa</t>
  </si>
  <si>
    <t>I Know Why the Caged Bird Sings</t>
  </si>
  <si>
    <t>Astral Cultural</t>
  </si>
  <si>
    <t>Grande Depressão</t>
  </si>
  <si>
    <t>St. Louis</t>
  </si>
  <si>
    <t>Correspondência/Mente</t>
  </si>
  <si>
    <t>Afro-americana</t>
  </si>
  <si>
    <t>Christminster</t>
  </si>
  <si>
    <t>Sulista Americano</t>
  </si>
  <si>
    <t>Il deserto dei Tartari</t>
  </si>
  <si>
    <t>Things Fall Apart</t>
  </si>
  <si>
    <t>Ibolândia</t>
  </si>
  <si>
    <t>Umuófia</t>
  </si>
  <si>
    <t>Igbo</t>
  </si>
  <si>
    <t>Egwugwu</t>
  </si>
  <si>
    <t>El sueño de los héroes</t>
  </si>
  <si>
    <t>Etapa Radical</t>
  </si>
  <si>
    <t>Buenos Aires</t>
  </si>
  <si>
    <t>Carnaval</t>
  </si>
  <si>
    <t>Mawsim al-Hijrah ilá al-Shamál</t>
  </si>
  <si>
    <t>Pós-Independência</t>
  </si>
  <si>
    <t>Cartum</t>
  </si>
  <si>
    <t>Ohio</t>
  </si>
  <si>
    <t>Lorain</t>
  </si>
  <si>
    <t>Primavera con una esquina rota</t>
  </si>
  <si>
    <t>Guerra Fria</t>
  </si>
  <si>
    <t>Oxfodshire</t>
  </si>
  <si>
    <t>Oxford</t>
  </si>
  <si>
    <t>Mentira</t>
  </si>
  <si>
    <t>The Dry</t>
  </si>
  <si>
    <t>Morro Branco</t>
  </si>
  <si>
    <t>Kiewarra</t>
  </si>
  <si>
    <t>Fogo</t>
  </si>
  <si>
    <t>L'Arminuta</t>
  </si>
  <si>
    <t>Anos de Chumbo</t>
  </si>
  <si>
    <t>Abruzzo</t>
  </si>
  <si>
    <t>Paralela</t>
  </si>
  <si>
    <t>Hollywood Clássica</t>
  </si>
  <si>
    <t>Hollywood</t>
  </si>
  <si>
    <t>Espionagem</t>
  </si>
  <si>
    <t>Alemanha Reunificada</t>
  </si>
  <si>
    <t>Westerwald</t>
  </si>
  <si>
    <t>Premonição</t>
  </si>
  <si>
    <t>Michigan</t>
  </si>
  <si>
    <t>Atlanta</t>
  </si>
  <si>
    <t>Flórida</t>
  </si>
  <si>
    <t>Key West</t>
  </si>
  <si>
    <t>I Am, I Am, I Am: Seventeen Brushes with Death</t>
  </si>
  <si>
    <t>종의 기원</t>
  </si>
  <si>
    <t>Todavia</t>
  </si>
  <si>
    <t>Gun-do</t>
  </si>
  <si>
    <t>Incheon</t>
  </si>
  <si>
    <t>The Color of Our Sky</t>
  </si>
  <si>
    <t>Maarastra</t>
  </si>
  <si>
    <t>Bombaim</t>
  </si>
  <si>
    <t>TAG - Experiências Literárias</t>
  </si>
  <si>
    <t>The Only Woman in the Room</t>
  </si>
  <si>
    <t>Viena</t>
  </si>
  <si>
    <t>Matéria/Correspondência</t>
  </si>
  <si>
    <t>Lisboa</t>
  </si>
  <si>
    <t>Sussex</t>
  </si>
  <si>
    <t>Terceira Idade</t>
  </si>
  <si>
    <t>Guns, Germs, and Steel: The Fates of Human Societies</t>
  </si>
  <si>
    <t>Vila Madalena</t>
  </si>
  <si>
    <t>New Jersey</t>
  </si>
  <si>
    <t>Americana</t>
  </si>
  <si>
    <t>Cambridge University Press</t>
  </si>
  <si>
    <t>Beaumont</t>
  </si>
  <si>
    <t>Ilha de Beaumnt</t>
  </si>
  <si>
    <t>Ecologia</t>
  </si>
  <si>
    <t>El Jardín de Bronce</t>
  </si>
  <si>
    <t>Globo Livros</t>
  </si>
  <si>
    <t>Democracia</t>
  </si>
  <si>
    <t>Contemporânea</t>
  </si>
  <si>
    <t>Ditadura Pinochet</t>
  </si>
  <si>
    <t>Santiago</t>
  </si>
  <si>
    <t>A Midsummer Night's Dream</t>
  </si>
  <si>
    <t>Atenas</t>
  </si>
  <si>
    <t>Greco-Romana</t>
  </si>
  <si>
    <t>Bath</t>
  </si>
  <si>
    <t>País das Maravilhas</t>
  </si>
  <si>
    <t>Inglesa</t>
  </si>
  <si>
    <t>Itaguaí</t>
  </si>
  <si>
    <t>Saraiva de Bolso</t>
  </si>
  <si>
    <t>Segundo Reich</t>
  </si>
  <si>
    <t>Prússia</t>
  </si>
  <si>
    <t>Berlim</t>
  </si>
  <si>
    <t>Tutti i nostri ieri</t>
  </si>
  <si>
    <t>Piemonte</t>
  </si>
  <si>
    <t>Mentone</t>
  </si>
  <si>
    <t>Nazifacista</t>
  </si>
  <si>
    <t>Rausch der Verwandlung</t>
  </si>
  <si>
    <t>Pontresina</t>
  </si>
  <si>
    <t>Sistema</t>
  </si>
  <si>
    <t>Era Reagan</t>
  </si>
  <si>
    <t>Hippie</t>
  </si>
  <si>
    <t>Kokkyō no minami, taiyō no nishi (国境の南、太陽の西)</t>
  </si>
  <si>
    <t>Tókio</t>
  </si>
  <si>
    <t>Japonesa</t>
  </si>
  <si>
    <t>Sostiene Pereira</t>
  </si>
  <si>
    <t>Salazarismo</t>
  </si>
  <si>
    <t>Portuquesa</t>
  </si>
  <si>
    <t>Gana</t>
  </si>
  <si>
    <t>Acra</t>
  </si>
  <si>
    <t>Ganesa</t>
  </si>
  <si>
    <t>URSS</t>
  </si>
  <si>
    <t>Apartheid</t>
  </si>
  <si>
    <t>Joanesburgo</t>
  </si>
  <si>
    <t>Xhosa</t>
  </si>
  <si>
    <t>Atocha Station</t>
  </si>
  <si>
    <t>Rádio Londres</t>
  </si>
  <si>
    <t>Southall</t>
  </si>
  <si>
    <t>Punjab</t>
  </si>
  <si>
    <t>LGBT</t>
  </si>
  <si>
    <t>Blackheath</t>
  </si>
  <si>
    <t>Repetição</t>
  </si>
  <si>
    <t>Alemanha Dividida</t>
  </si>
  <si>
    <t>Berlim Ocidental</t>
  </si>
  <si>
    <t>Ilha de Jeju</t>
  </si>
  <si>
    <t>Haenyeou</t>
  </si>
  <si>
    <t>The Brightest Sun</t>
  </si>
  <si>
    <t>Nakuru</t>
  </si>
  <si>
    <t>Massai</t>
  </si>
  <si>
    <t>Santa Lora</t>
  </si>
  <si>
    <t>Woodview</t>
  </si>
  <si>
    <t>Serrial Killer</t>
  </si>
  <si>
    <t>Literatura</t>
  </si>
  <si>
    <t>A Study in Scarlet</t>
  </si>
  <si>
    <t>São Francisco</t>
  </si>
  <si>
    <t>Música</t>
  </si>
  <si>
    <t>Lagos</t>
  </si>
  <si>
    <t>Africana</t>
  </si>
  <si>
    <t>Supremassista</t>
  </si>
  <si>
    <t>The Map of Salt and Stars</t>
  </si>
  <si>
    <t>Primavera Árabe</t>
  </si>
  <si>
    <t>Síria</t>
  </si>
  <si>
    <t>Árabe</t>
  </si>
  <si>
    <t>Petit Piment</t>
  </si>
  <si>
    <t>Malê</t>
  </si>
  <si>
    <t>República Popular</t>
  </si>
  <si>
    <t>República do Congo</t>
  </si>
  <si>
    <t>Loango</t>
  </si>
  <si>
    <t>Pointe-Noire</t>
  </si>
  <si>
    <t>Congolesa</t>
  </si>
  <si>
    <t>The Red-Haired Woman</t>
  </si>
  <si>
    <t>Golpe Militar</t>
  </si>
  <si>
    <t>Turca</t>
  </si>
  <si>
    <t>Frida Kahlo und die Farben des Lebens</t>
  </si>
  <si>
    <t>Tordesilhas</t>
  </si>
  <si>
    <t>México Pós-Revolução</t>
  </si>
  <si>
    <t>Cidade do México</t>
  </si>
  <si>
    <t>Coyoacán</t>
  </si>
  <si>
    <t>Mexicana</t>
  </si>
  <si>
    <t>Trama</t>
  </si>
  <si>
    <t>Pensilvânia</t>
  </si>
  <si>
    <t>Filadélfia</t>
  </si>
  <si>
    <t>Drogas</t>
  </si>
  <si>
    <t>Antofágica</t>
  </si>
  <si>
    <t>Medallion</t>
  </si>
  <si>
    <t>Fenlands</t>
  </si>
  <si>
    <t>Feminismo</t>
  </si>
  <si>
    <t>Chronos</t>
  </si>
  <si>
    <t>Rhode Island</t>
  </si>
  <si>
    <t>Arkham</t>
  </si>
  <si>
    <t>Nature</t>
  </si>
  <si>
    <t>Newalk</t>
  </si>
  <si>
    <t>Arpoador</t>
  </si>
  <si>
    <t>The Girl with the Louding Voice</t>
  </si>
  <si>
    <t>Paraíba</t>
  </si>
  <si>
    <t>Campina Grande</t>
  </si>
  <si>
    <t>Mirall trencat</t>
  </si>
  <si>
    <t>Franquismo</t>
  </si>
  <si>
    <t>Barcelona</t>
  </si>
  <si>
    <t>Catalã</t>
  </si>
  <si>
    <t>Clapham</t>
  </si>
  <si>
    <t>Sofala</t>
  </si>
  <si>
    <t>Beira</t>
  </si>
  <si>
    <t>Bedfordshire</t>
  </si>
  <si>
    <t>Bedford</t>
  </si>
  <si>
    <t>Vida após a morte</t>
  </si>
  <si>
    <t>Dreams in a Time of War</t>
  </si>
  <si>
    <t>Revolta dos Mau Mau</t>
  </si>
  <si>
    <t>Kiambu</t>
  </si>
  <si>
    <t>Limuru</t>
  </si>
  <si>
    <t>Queniana</t>
  </si>
  <si>
    <t>The One Hundred Years of Lenni and Margot</t>
  </si>
  <si>
    <t>Glasgow</t>
  </si>
  <si>
    <t>Hospital</t>
  </si>
  <si>
    <t>La tregua</t>
  </si>
  <si>
    <t>Schwarcz</t>
  </si>
  <si>
    <t>Neobatllismo</t>
  </si>
  <si>
    <t>Montevidéu</t>
  </si>
  <si>
    <t>Latina</t>
  </si>
  <si>
    <t>Aprendre a parlar amb les plantes</t>
  </si>
  <si>
    <t>Matrix</t>
  </si>
  <si>
    <t>Tremembé</t>
  </si>
  <si>
    <t>Penitenciária</t>
  </si>
  <si>
    <t>Seguinte</t>
  </si>
  <si>
    <t>Brooklyn</t>
  </si>
  <si>
    <t>Claire of the Sea Light</t>
  </si>
  <si>
    <t>Ville Rose</t>
  </si>
  <si>
    <t xml:space="preserve">Black Mamba Boy </t>
  </si>
  <si>
    <t>Iêmen</t>
  </si>
  <si>
    <t>Áden</t>
  </si>
  <si>
    <t>TLS Books</t>
  </si>
  <si>
    <t>Tennessee</t>
  </si>
  <si>
    <t>Casa</t>
  </si>
  <si>
    <t>Política</t>
  </si>
  <si>
    <t>Combustão expontânea</t>
  </si>
  <si>
    <t>Heavy: An American Memoir</t>
  </si>
  <si>
    <t>Mississipi</t>
  </si>
  <si>
    <t>Jackson</t>
  </si>
  <si>
    <t>The Henna Artist</t>
  </si>
  <si>
    <t>Rajastão</t>
  </si>
  <si>
    <t>Jaipur</t>
  </si>
  <si>
    <t>Roça Nova</t>
  </si>
  <si>
    <t>Pérsia Medieval</t>
  </si>
  <si>
    <t>Persa</t>
  </si>
  <si>
    <t>How the Penguins Saved Veronica</t>
  </si>
  <si>
    <t>Gutenberg</t>
  </si>
  <si>
    <t>Tratado da Antártica</t>
  </si>
  <si>
    <t>Ilha Locket</t>
  </si>
  <si>
    <t>Ilha</t>
  </si>
  <si>
    <t>Las malas</t>
  </si>
  <si>
    <t>Governo de Transição</t>
  </si>
  <si>
    <t>Córdoba</t>
  </si>
  <si>
    <t>Praça Sarmiento</t>
  </si>
  <si>
    <t>Travesti</t>
  </si>
  <si>
    <t>The Book of Longings</t>
  </si>
  <si>
    <t>Séforis</t>
  </si>
  <si>
    <t>Ubiratã</t>
  </si>
  <si>
    <t>Seita</t>
  </si>
  <si>
    <t>Maternidade</t>
  </si>
  <si>
    <t>Beco do Urso</t>
  </si>
  <si>
    <t>Veneno</t>
  </si>
  <si>
    <t>Greenwich</t>
  </si>
  <si>
    <t>Sacro Império Romano-Germânico</t>
  </si>
  <si>
    <t>Wahlheim</t>
  </si>
  <si>
    <t>Wetzlar</t>
  </si>
  <si>
    <t>Alemã</t>
  </si>
  <si>
    <t>By the Sea</t>
  </si>
  <si>
    <t>Revolução de Zanzibar</t>
  </si>
  <si>
    <t>Zanzibar</t>
  </si>
  <si>
    <t>Víirgnia</t>
  </si>
  <si>
    <t>Prisão Lumpkin</t>
  </si>
  <si>
    <t>Copacabana</t>
  </si>
  <si>
    <t>Sonhar</t>
  </si>
  <si>
    <t>Boston</t>
  </si>
  <si>
    <t>Nicósia</t>
  </si>
  <si>
    <t>Cipriota</t>
  </si>
  <si>
    <t>Montanhas Catskill</t>
  </si>
  <si>
    <t>Apocalypse Bébé</t>
  </si>
  <si>
    <t>Francesa</t>
  </si>
  <si>
    <t>Biward</t>
  </si>
  <si>
    <t>Indiana</t>
  </si>
  <si>
    <t>Las maravillas</t>
  </si>
  <si>
    <t>Pós-Franquismo</t>
  </si>
  <si>
    <t>Bretanha</t>
  </si>
  <si>
    <t>Crozon</t>
  </si>
  <si>
    <t>Editorial</t>
  </si>
  <si>
    <t>Jerusalém</t>
  </si>
  <si>
    <t>Verus Editora</t>
  </si>
  <si>
    <t>North Carolina</t>
  </si>
  <si>
    <t>Sunshine Falls</t>
  </si>
  <si>
    <t>Detroid</t>
  </si>
  <si>
    <t>Ciranda Cultural</t>
  </si>
  <si>
    <t>Nova Zelândia</t>
  </si>
  <si>
    <t>Auckland</t>
  </si>
  <si>
    <t>Praia</t>
  </si>
  <si>
    <t>Surf</t>
  </si>
  <si>
    <t>Migrations</t>
  </si>
  <si>
    <t>Alta Books</t>
  </si>
  <si>
    <t>Dinamarca</t>
  </si>
  <si>
    <t>Groelândia</t>
  </si>
  <si>
    <t>Naval</t>
  </si>
  <si>
    <t>Extinção em massa</t>
  </si>
  <si>
    <t>Ambassade de France au Brésil</t>
  </si>
  <si>
    <t>Exile</t>
  </si>
  <si>
    <t>Tasmânia</t>
  </si>
  <si>
    <t>Ilha de Flinders</t>
  </si>
  <si>
    <t>How to Get Filthy Rich in Rising Asia</t>
  </si>
  <si>
    <t>Lahore</t>
  </si>
  <si>
    <t>Paquistanesa</t>
  </si>
  <si>
    <t>Sowel Bay</t>
  </si>
  <si>
    <t>Litorânea</t>
  </si>
  <si>
    <t>Animal</t>
  </si>
  <si>
    <t>S'Adapter</t>
  </si>
  <si>
    <t>Cévennes</t>
  </si>
  <si>
    <t>Home Fire</t>
  </si>
  <si>
    <t>Santa Catarina</t>
  </si>
  <si>
    <t>Chapecó</t>
  </si>
  <si>
    <t>Sulista Brasileira</t>
  </si>
  <si>
    <t>Ocidental</t>
  </si>
  <si>
    <t>Starlin Alta Editora</t>
  </si>
  <si>
    <t>Terceiro Reich</t>
  </si>
  <si>
    <t>Agence Litteraire Pierre Astier &amp; Associès</t>
  </si>
  <si>
    <t>Porto Príncipe</t>
  </si>
  <si>
    <t>Nelhio</t>
  </si>
  <si>
    <t>Vudu</t>
  </si>
  <si>
    <t>Almofala</t>
  </si>
  <si>
    <t>Encantados</t>
  </si>
  <si>
    <t>The Mountains Sing</t>
  </si>
  <si>
    <t>Grande Fome</t>
  </si>
  <si>
    <t>Hánoi</t>
  </si>
  <si>
    <t>Vientnamita</t>
  </si>
  <si>
    <t>M/F</t>
  </si>
  <si>
    <t>Bly</t>
  </si>
  <si>
    <t>Vitoriana</t>
  </si>
  <si>
    <t>Carolina do Norte</t>
  </si>
  <si>
    <t>Instante</t>
  </si>
  <si>
    <t>Buba Yali</t>
  </si>
  <si>
    <t>Liverpool</t>
  </si>
  <si>
    <t>Crosby</t>
  </si>
  <si>
    <t>Viagem no tempo</t>
  </si>
  <si>
    <t>DBA</t>
  </si>
  <si>
    <t>Porto Alegre</t>
  </si>
  <si>
    <t>The Other Princess</t>
  </si>
  <si>
    <t>ABDR</t>
  </si>
  <si>
    <t>Harlem</t>
  </si>
  <si>
    <t>Texana</t>
  </si>
  <si>
    <t>Chinesa</t>
  </si>
  <si>
    <t>Grupo Autêntica</t>
  </si>
  <si>
    <t>Idaho</t>
  </si>
  <si>
    <t>Pierse</t>
  </si>
  <si>
    <t>On Chasil Beach</t>
  </si>
  <si>
    <t>Chesil Beach</t>
  </si>
  <si>
    <t>Tuesday Evening with the Copeton Craft Resistance</t>
  </si>
  <si>
    <t>Melborne</t>
  </si>
  <si>
    <t>Copeton</t>
  </si>
  <si>
    <t>Premier sang</t>
  </si>
  <si>
    <t>Paris d Hitória</t>
  </si>
  <si>
    <t>Ardenas</t>
  </si>
  <si>
    <t>Pomt d’Oye</t>
  </si>
  <si>
    <t>Belga</t>
  </si>
  <si>
    <t>Wish You Were Here</t>
  </si>
  <si>
    <t>Equador</t>
  </si>
  <si>
    <t>Galápagos</t>
  </si>
  <si>
    <t>Ilha Isabela</t>
  </si>
  <si>
    <t>The Vulnerables</t>
  </si>
  <si>
    <t>Pós-pandemia</t>
  </si>
  <si>
    <t>Distrito Federal</t>
  </si>
  <si>
    <t>Pedra Redonda</t>
  </si>
  <si>
    <t>Gaúcha</t>
  </si>
  <si>
    <t>Killing Moon</t>
  </si>
  <si>
    <t>Oslo</t>
  </si>
  <si>
    <t>Nórdica</t>
  </si>
  <si>
    <t>Vita mortale e immortale della bambina di Milano</t>
  </si>
  <si>
    <t>Nápoles</t>
  </si>
  <si>
    <t>Italiana</t>
  </si>
  <si>
    <t>Last Summer on State Street</t>
  </si>
  <si>
    <t>Illinois</t>
  </si>
  <si>
    <t>Chicago</t>
  </si>
  <si>
    <t>The Secret of Joy</t>
  </si>
  <si>
    <t>Olinka</t>
  </si>
  <si>
    <t>The Life Impossible</t>
  </si>
  <si>
    <t>Baleares</t>
  </si>
  <si>
    <t>Ibiza</t>
  </si>
  <si>
    <t>Vida/Primórdio</t>
  </si>
  <si>
    <t>Espanhola</t>
  </si>
  <si>
    <t>Salácia</t>
  </si>
  <si>
    <t>La Mala Costumbra</t>
  </si>
  <si>
    <t>San Blas</t>
  </si>
  <si>
    <t>River Spirit</t>
  </si>
  <si>
    <t>Revolução Mahdista</t>
  </si>
  <si>
    <t>This side of Providence</t>
  </si>
  <si>
    <t>Providence</t>
  </si>
  <si>
    <t>Portoriquenha</t>
  </si>
  <si>
    <t>Casa dos Livros</t>
  </si>
  <si>
    <t>Editora 34</t>
  </si>
  <si>
    <t>Vale do Paraíba</t>
  </si>
  <si>
    <t>Mãe D’Água</t>
  </si>
  <si>
    <t>The Unmaking of June Farrow</t>
  </si>
  <si>
    <t>HR LTDA</t>
  </si>
  <si>
    <t>Jasper</t>
  </si>
  <si>
    <t>Maranhão</t>
  </si>
  <si>
    <t>Guimarães</t>
  </si>
  <si>
    <t>White Teeth</t>
  </si>
  <si>
    <t>Enzo Ferrari the man, the cars, the races, the machine</t>
  </si>
  <si>
    <t>Best Seller</t>
  </si>
  <si>
    <t>Emília-Romanha</t>
  </si>
  <si>
    <t>Modena</t>
  </si>
  <si>
    <t>Serra Morena</t>
  </si>
  <si>
    <t>Une Belle Vie</t>
  </si>
  <si>
    <t>Saint-Malo</t>
  </si>
  <si>
    <t>Go Telkl It on the Mountain</t>
  </si>
  <si>
    <t>The Wedding People</t>
  </si>
  <si>
    <t>Newport</t>
  </si>
  <si>
    <t>Kill For Me Kill For You</t>
  </si>
  <si>
    <t>Mata Grosso do Sul</t>
  </si>
  <si>
    <t>Pantanal</t>
  </si>
  <si>
    <t>Matéria/Mente</t>
  </si>
  <si>
    <t>Swimming in the dark</t>
  </si>
  <si>
    <t>Polônia</t>
  </si>
  <si>
    <t>Polonesa</t>
  </si>
  <si>
    <t>Entropia/Mente</t>
  </si>
  <si>
    <t>Portuguesa</t>
  </si>
  <si>
    <t>Fernando Carrao</t>
  </si>
  <si>
    <t>Sempre Amigos</t>
  </si>
  <si>
    <t>H</t>
  </si>
  <si>
    <t>FTD</t>
  </si>
  <si>
    <t>Ilustração</t>
  </si>
  <si>
    <t>Brasileira</t>
  </si>
  <si>
    <t>Tempo/Entropia</t>
  </si>
  <si>
    <t>Fido Nesti</t>
  </si>
  <si>
    <t>Os Lusíadas em quadrinhos</t>
  </si>
  <si>
    <t>Peirópolis</t>
  </si>
  <si>
    <t>Grandes Naveagações</t>
  </si>
  <si>
    <t>Clássica</t>
  </si>
  <si>
    <t>Dream Count</t>
  </si>
  <si>
    <t>Fulgor y Muerte de Joaquín Murieta</t>
  </si>
  <si>
    <t>Chilena</t>
  </si>
  <si>
    <t>Luiz Raul Machado</t>
  </si>
  <si>
    <t>Casa de Papel</t>
  </si>
  <si>
    <t>Rovelle</t>
  </si>
  <si>
    <t>Raul Fernandez</t>
  </si>
  <si>
    <t>Jabuticabeira</t>
  </si>
  <si>
    <t>L'Amant</t>
  </si>
  <si>
    <t>Indochina franncesa</t>
  </si>
  <si>
    <t>Saigon</t>
  </si>
  <si>
    <t>Andy Griffiths/Terry Denton</t>
  </si>
  <si>
    <t>A Casa na Árvore com 13 Andares</t>
  </si>
  <si>
    <t>The 13-Storey Treehouse</t>
  </si>
  <si>
    <t>Fundamento</t>
  </si>
  <si>
    <t>Casa da Árvore</t>
  </si>
  <si>
    <t>Casa na Árvore</t>
  </si>
  <si>
    <t>Seiva</t>
  </si>
  <si>
    <t>Entropia/Matéria</t>
  </si>
  <si>
    <t>Shirley Sodré</t>
  </si>
  <si>
    <t>Anne de Green Gables</t>
  </si>
  <si>
    <t>Pé da Letra</t>
  </si>
  <si>
    <t>Green Gablkes</t>
  </si>
  <si>
    <t>Vila</t>
  </si>
  <si>
    <t>Interior</t>
  </si>
  <si>
    <t>A River in Darkness: One Man's Escape from North Korea</t>
  </si>
  <si>
    <t>Regime Totalitário Kim</t>
  </si>
  <si>
    <t>Coréia do Norte</t>
  </si>
  <si>
    <t>Vila/Cidade</t>
  </si>
  <si>
    <t>Coreana</t>
  </si>
  <si>
    <t>Civilização brasileira</t>
  </si>
  <si>
    <t>Matéria/Primórdio</t>
  </si>
  <si>
    <t>The Boyfriend</t>
  </si>
  <si>
    <t>Manhattam</t>
  </si>
  <si>
    <t>Kentucky</t>
  </si>
  <si>
    <t>Louisville</t>
  </si>
  <si>
    <t>Blues</t>
  </si>
  <si>
    <t>Vampires of el Norte</t>
  </si>
  <si>
    <t>Guerra Mexicano-Americana</t>
  </si>
  <si>
    <t>Tamaulipas</t>
  </si>
  <si>
    <t>Haciendas</t>
  </si>
  <si>
    <t>Entropia/Correspondência</t>
  </si>
  <si>
    <t>Vampiros</t>
  </si>
  <si>
    <t>Jeff Kinney</t>
  </si>
  <si>
    <t>Diário de um Banana, Segurando Vela</t>
  </si>
  <si>
    <t>Diary of a wimpy kid: The Third Wheel</t>
  </si>
  <si>
    <t>V&amp;R</t>
  </si>
  <si>
    <t>Diário de um Banana</t>
  </si>
  <si>
    <t>L'effondrement</t>
  </si>
  <si>
    <t>Somme</t>
  </si>
  <si>
    <t>Amiens</t>
  </si>
  <si>
    <t>Entropia/Tempo</t>
  </si>
  <si>
    <t>Una casa en la arena</t>
  </si>
  <si>
    <t>Estado de Compromisso</t>
  </si>
  <si>
    <t>Valparaíso</t>
  </si>
  <si>
    <t>Isla Negra</t>
  </si>
  <si>
    <t>Ballet</t>
  </si>
  <si>
    <t>português</t>
  </si>
  <si>
    <t>A Casa na Árvore com 26 Andares</t>
  </si>
  <si>
    <t>Del amor y otros demonios</t>
  </si>
  <si>
    <t>Catolica</t>
  </si>
  <si>
    <t>Catolicismo</t>
  </si>
  <si>
    <t>Patricia de Arias</t>
  </si>
  <si>
    <t>Fica Comigo</t>
  </si>
  <si>
    <t>The God of the Woods</t>
  </si>
  <si>
    <t>Montanhas Adirondack</t>
  </si>
  <si>
    <t>Acampamento</t>
  </si>
  <si>
    <t>Gabriel Dearo &amp; Manu Digilo</t>
  </si>
  <si>
    <t>As Aventuras de Mike: priminha irritante no Reino dos Unicórnios</t>
  </si>
  <si>
    <t>H/M</t>
  </si>
  <si>
    <t>Unicórnio</t>
  </si>
  <si>
    <t>As Aventuras de Mike</t>
  </si>
  <si>
    <t>The Age of Innocence</t>
  </si>
  <si>
    <t>Six Days in Bombay</t>
  </si>
  <si>
    <t>Tropique de la violence</t>
  </si>
  <si>
    <t>Mayotte</t>
  </si>
  <si>
    <t>Mamoudzou</t>
  </si>
  <si>
    <t>Knulp: Drei Geschichten aus dem Leben Knulps</t>
  </si>
  <si>
    <t>Baden-Württemberg</t>
  </si>
  <si>
    <t>Floresta Negra</t>
  </si>
  <si>
    <t>Correspondência/Vida</t>
  </si>
  <si>
    <t>Il bambino  che dusegnava le ombre</t>
  </si>
  <si>
    <t>Oświęcim</t>
  </si>
  <si>
    <t>Auschwitz</t>
  </si>
  <si>
    <t>As Aventuras de Mike: A origem de  Robson</t>
  </si>
  <si>
    <t>Desbolsollo</t>
  </si>
  <si>
    <t>Espanhol</t>
  </si>
  <si>
    <t>Happy Books</t>
  </si>
  <si>
    <t>O Dragão que olhou para a Estrela</t>
  </si>
  <si>
    <t>Mammoth World</t>
  </si>
  <si>
    <t>Todolivro</t>
  </si>
  <si>
    <t>Dragão</t>
  </si>
  <si>
    <t>Noites distantes do Castelo</t>
  </si>
  <si>
    <t>O Acordeão de Artur</t>
  </si>
  <si>
    <t>As Aventuras na Selva</t>
  </si>
  <si>
    <t>Um Nabo no Meu Quintal</t>
  </si>
  <si>
    <t>The Names</t>
  </si>
  <si>
    <t>Tempo/Primórdio</t>
  </si>
  <si>
    <t>Multiverso</t>
  </si>
  <si>
    <t>Gather Together in My Name</t>
  </si>
  <si>
    <t>Pós-Guerra</t>
  </si>
  <si>
    <t>Tranorna flyger söderut</t>
  </si>
  <si>
    <t>Jämtland</t>
  </si>
  <si>
    <t>Hissmorfors</t>
  </si>
  <si>
    <t>Suéca</t>
  </si>
  <si>
    <t>Vale</t>
  </si>
  <si>
    <t>Vidas em Cordel</t>
  </si>
  <si>
    <t>Listen for the Lie</t>
  </si>
  <si>
    <t>Plumpton</t>
  </si>
  <si>
    <t>Colatina</t>
  </si>
  <si>
    <t>Itabirinha</t>
  </si>
  <si>
    <t>Pará</t>
  </si>
  <si>
    <t>Altamira</t>
  </si>
  <si>
    <t>Yudjá</t>
  </si>
  <si>
    <t>Luke Pearson</t>
  </si>
  <si>
    <t>Hilda e o Cão Negro</t>
  </si>
  <si>
    <t>Hilda and the Black Hound</t>
  </si>
  <si>
    <t>Leiturinha</t>
  </si>
  <si>
    <t>Trolburgo</t>
  </si>
  <si>
    <t>Duendes</t>
  </si>
  <si>
    <t>Hildafolk</t>
  </si>
  <si>
    <t>Bruno Nunes</t>
  </si>
  <si>
    <t>Se Eu Plantar uma Árvore</t>
  </si>
  <si>
    <t>Árvore</t>
  </si>
  <si>
    <t>A Sea of Unspokn Things</t>
  </si>
  <si>
    <t>Six Rivers</t>
  </si>
  <si>
    <t>Gêmeos</t>
  </si>
  <si>
    <t>Diário de Banana, Casa dos Horrores</t>
  </si>
  <si>
    <t>Diary of a wimpy kid: Cabin Fever</t>
  </si>
  <si>
    <t>KNN</t>
  </si>
  <si>
    <t>Me fez pensar em muitas coisas que não fazem sentido é be engraçado.</t>
  </si>
  <si>
    <t>Não tem nada para falar, mas o livro é legal.</t>
  </si>
  <si>
    <t>Vara în care mama a avut ochii verzi</t>
  </si>
  <si>
    <t>Mundaréu</t>
  </si>
  <si>
    <t>Leonardo Magalhães</t>
  </si>
  <si>
    <t>Somos todos Saíra-apunhalada: Uma história sobre o valor da natureza</t>
  </si>
  <si>
    <t>IMD</t>
  </si>
  <si>
    <t>Castelo</t>
  </si>
  <si>
    <t>Não pode jogar lixo na natureza, não pode cortar as águas e poluir o mar.</t>
  </si>
  <si>
    <t>Jonas Rosa dos Reis</t>
  </si>
  <si>
    <t>A Lenda do Lagarto Azul</t>
  </si>
  <si>
    <t>Spirito Sancto</t>
  </si>
  <si>
    <t>Frei José Oseas</t>
  </si>
  <si>
    <t>Domingo Martins</t>
  </si>
  <si>
    <t>Vanessa Ratton/Lalan Bessoni</t>
  </si>
  <si>
    <t>O Enigma da família Rener</t>
  </si>
  <si>
    <t>Andressa Zoi Nathanalidis</t>
  </si>
  <si>
    <t>Zwń vida</t>
  </si>
  <si>
    <t>Impresso no Brasil</t>
  </si>
  <si>
    <t>O livro é ruim terrível e horroroso.</t>
  </si>
  <si>
    <t>Walcyr Carrasco</t>
  </si>
  <si>
    <t>Rick, o Nerd Detetive</t>
  </si>
  <si>
    <t>Atica</t>
  </si>
  <si>
    <t>Muito bom.</t>
  </si>
  <si>
    <t>Jean Claude</t>
  </si>
  <si>
    <t>Pinóquia</t>
  </si>
  <si>
    <t>Toscana</t>
  </si>
  <si>
    <t>San Miniato Basso</t>
  </si>
  <si>
    <t>Pinóquio</t>
  </si>
  <si>
    <t>Bom e engraçado.</t>
  </si>
  <si>
    <t>Ricardo Silvestrin</t>
  </si>
  <si>
    <t>Mmmmmonstros!</t>
  </si>
  <si>
    <t>Moderna</t>
  </si>
  <si>
    <t>Terrível.</t>
  </si>
  <si>
    <t>Fernando Nuno</t>
  </si>
  <si>
    <t>O Quintal da Minha Casa</t>
  </si>
  <si>
    <t>Mais ou menos, não achei muito interessante.</t>
  </si>
  <si>
    <t>The Lion Woman of Tehran</t>
  </si>
  <si>
    <t>Revolução Iraniana</t>
  </si>
  <si>
    <t>Teerã</t>
  </si>
  <si>
    <t>POrtuguês</t>
  </si>
  <si>
    <t>As Aventuras de Mike: o bebê chegou</t>
  </si>
  <si>
    <t>O livro é muito bom, por que é engraçado.</t>
  </si>
  <si>
    <t>As Aventuras de Mike: mudando de casa</t>
  </si>
  <si>
    <t>O livro é muito bom, por que também é engraçado, 'de comédia.</t>
  </si>
  <si>
    <t>What We Can Know</t>
  </si>
  <si>
    <t>Celeiro</t>
  </si>
  <si>
    <t>Pós-apocaliptico</t>
  </si>
  <si>
    <t>Plus grand que le ciel</t>
  </si>
  <si>
    <t>Gironda</t>
  </si>
  <si>
    <t>Bordeaux</t>
  </si>
  <si>
    <t>As Aventuras de Mikie: Pé na estrada</t>
  </si>
  <si>
    <t>O livro é bom.</t>
  </si>
  <si>
    <t>João Pessoa</t>
  </si>
  <si>
    <t>Correspondência/Entropia/Mente</t>
  </si>
  <si>
    <t>Frredom is a feast</t>
  </si>
  <si>
    <t>Ditadura Chavista</t>
  </si>
  <si>
    <t>Caracas</t>
  </si>
  <si>
    <t>Matéria/Entropia</t>
  </si>
  <si>
    <t>The Autobiography of my Mother</t>
  </si>
  <si>
    <t>Pós-Colonialismo</t>
  </si>
  <si>
    <t>Dominica</t>
  </si>
  <si>
    <t>São Jorge</t>
  </si>
  <si>
    <t>Roseau</t>
  </si>
  <si>
    <t>Caribenha</t>
  </si>
  <si>
    <t>Cachambi</t>
  </si>
  <si>
    <t>Mente/Vida</t>
  </si>
  <si>
    <t>The Correspondent</t>
  </si>
  <si>
    <t>Maryland</t>
  </si>
  <si>
    <t>Annapolis</t>
  </si>
  <si>
    <t>Les Armoires vides</t>
  </si>
  <si>
    <t>Fósforo</t>
  </si>
  <si>
    <t>Yvetot</t>
  </si>
  <si>
    <t>Briefe an einen jungen Dichter</t>
  </si>
  <si>
    <t>Belle Époque</t>
  </si>
  <si>
    <t>Romênia</t>
  </si>
  <si>
    <t>Transilvânia</t>
  </si>
  <si>
    <t>Timișoara</t>
  </si>
  <si>
    <t>Manuel Filho &amp; Helô Barbí</t>
  </si>
  <si>
    <t>Caracol Sabe Tudo (mas não conta para ninguém)</t>
  </si>
  <si>
    <t>Vila Caracol</t>
  </si>
  <si>
    <t>Futebol</t>
  </si>
  <si>
    <t>Chato, muito chato e muito ruim.</t>
  </si>
  <si>
    <t>Editora Bicho Esperto</t>
  </si>
  <si>
    <t>Livro de Quebra Cabeça A Pequena Sereia</t>
  </si>
  <si>
    <t>Século XIX</t>
  </si>
  <si>
    <t>Navegação</t>
  </si>
  <si>
    <t>Sereias</t>
  </si>
  <si>
    <t>Bicho Esperto</t>
  </si>
  <si>
    <t>Mais ou menos, livro muito infantil.</t>
  </si>
  <si>
    <t>Guerra Cilvil Americana</t>
  </si>
  <si>
    <t>Alabama</t>
  </si>
  <si>
    <t>Lowndes County</t>
  </si>
  <si>
    <t>Entropia/Espírito</t>
  </si>
  <si>
    <t>Elisabete da Cruz</t>
  </si>
  <si>
    <t>Férias Animal</t>
  </si>
  <si>
    <t>Vida/Correspodência</t>
  </si>
  <si>
    <t>Legal.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</si>
</sst>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font>
    <font>
      <b/>
      <sz val="10.0"/>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49" xfId="0" applyAlignment="1" applyFont="1" applyNumberFormat="1">
      <alignment shrinkToFit="0" vertical="bottom" wrapText="0"/>
    </xf>
    <xf borderId="0" fillId="0" fontId="2"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left" shrinkToFit="0" vertical="bottom" wrapText="0"/>
    </xf>
    <xf borderId="0" fillId="0" fontId="2" numFmtId="0" xfId="0" applyAlignment="1" applyFont="1">
      <alignment horizontal="left" shrinkToFit="0" vertical="bottom" wrapText="0"/>
    </xf>
    <xf borderId="0" fillId="0" fontId="2" numFmtId="0" xfId="0" applyAlignment="1" applyFont="1">
      <alignment shrinkToFit="0" vertical="bottom" wrapText="0"/>
    </xf>
    <xf borderId="0" fillId="0" fontId="3" numFmtId="0" xfId="0" applyAlignment="1" applyFont="1">
      <alignment vertical="bottom"/>
    </xf>
    <xf borderId="0" fillId="0" fontId="3" numFmtId="0" xfId="0" applyAlignment="1" applyFont="1">
      <alignment horizontal="right" vertical="bottom"/>
    </xf>
    <xf borderId="0" fillId="0" fontId="4" numFmtId="0" xfId="0" applyFont="1"/>
    <xf borderId="0" fillId="0" fontId="3" numFmtId="0" xfId="0" applyAlignment="1" applyFont="1">
      <alignment readingOrder="0" vertical="bottom"/>
    </xf>
    <xf borderId="0" fillId="0" fontId="4" numFmtId="0" xfId="0" applyAlignment="1" applyFont="1">
      <alignment readingOrder="0"/>
    </xf>
    <xf borderId="0" fillId="0" fontId="3"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AO500" sheet="Planilha1"/>
  </cacheSource>
  <cacheFields>
    <cacheField name="Leitor" numFmtId="0">
      <sharedItems containsBlank="1">
        <s v="Victor V."/>
        <s v="Tulipa S. V."/>
        <m/>
      </sharedItems>
    </cacheField>
    <cacheField name="Continente" numFmtId="0">
      <sharedItems containsBlank="1">
        <s v="América"/>
        <s v="Europa"/>
        <s v="Ásia"/>
        <s v="África"/>
        <s v="Oceania"/>
        <m/>
      </sharedItems>
    </cacheField>
    <cacheField name="Região" numFmtId="0">
      <sharedItems containsBlank="1">
        <s v="Am. Latina"/>
        <s v="Ilhas Britânicas"/>
        <s v="Eu. Meridional"/>
        <s v="Am. Anglo-Saxônica"/>
        <s v="Eu. Ocidental"/>
        <s v="Extremo Oriente"/>
        <s v="Eu. Oriental"/>
        <s v="Oriente Médio"/>
        <s v="Eu. Setentrional"/>
        <s v="Af. Subsaariana"/>
        <s v="Ásia Meridional"/>
        <s v="Caribe"/>
        <s v="Oceania"/>
        <s v="Norte da África"/>
        <m/>
      </sharedItems>
    </cacheField>
    <cacheField name="País" numFmtId="0">
      <sharedItems containsBlank="1">
        <s v="Brasil"/>
        <s v="Inglaterra"/>
        <s v="Portugal"/>
        <s v="USA"/>
        <s v="Itália"/>
        <s v="França"/>
        <s v="Japão"/>
        <s v="Rússia"/>
        <s v="Afeganistão"/>
        <s v="Holanda"/>
        <s v="Colômbia"/>
        <s v="Noruega"/>
        <s v="Irlanda"/>
        <s v="Alemanha"/>
        <s v="Espanha"/>
        <s v="Grécia"/>
        <s v="China"/>
        <s v="Nigéria"/>
        <s v="Suíça"/>
        <s v="Bielorussia"/>
        <s v="Irã"/>
        <s v="Argentina"/>
        <s v="Sudão"/>
        <s v="Uruguai"/>
        <s v="Coréia do Sul"/>
        <s v="Índia"/>
        <s v="Chile"/>
        <s v="Áustria"/>
        <s v="África do Sul"/>
        <s v="Cingapura"/>
        <s v="Escócia"/>
        <s v="Canadá"/>
        <s v="Congo"/>
        <s v="Turquia"/>
        <s v="Moçambique"/>
        <s v="Quênia"/>
        <s v="Haiti"/>
        <s v="Somália"/>
        <s v="Líbano"/>
        <s v="México"/>
        <s v="Tanzania"/>
        <s v="Israel"/>
        <s v="Austrália"/>
        <s v="Paquistão"/>
        <s v="Vietnã"/>
        <s v="Egito"/>
        <s v="Irlanda do Norte"/>
        <s v="Maurícia"/>
        <s v="Suécia"/>
        <s v="Moldávia"/>
        <s v="Venezuela"/>
        <s v="Antígua e Barbuda"/>
        <s v="República Tcheca"/>
        <m/>
      </sharedItems>
    </cacheField>
    <cacheField name="Título.O" numFmtId="0">
      <sharedItems containsBlank="1">
        <s v="A Ilha Perdida"/>
        <s v="Flicts"/>
        <s v="Marcelo, Martelo, Marmelo"/>
        <s v="O Rapto do Garoto de Ouro"/>
        <s v="Acúcar Amargo"/>
        <s v="Harry Potter and the Philosopher's Stone"/>
        <s v="Depois Daquela Viagem"/>
        <s v="Harry Potter and the Chamber of Secrets"/>
        <m/>
        <s v="O Vampiro que Descobriu o Brasil"/>
        <s v="Suspiro Poéticos e Saudades"/>
        <s v="Amor de Perdição"/>
        <s v="O Cortiço"/>
        <s v="Il nome della rosa"/>
        <s v="Os Sete"/>
        <s v="A Moreninha"/>
        <s v="Lira dos Vinte Anos"/>
        <s v="A Viuvinha/Cinco Minutos"/>
        <s v="O Guarani"/>
        <s v="Lucíola"/>
        <s v="Iracema"/>
        <s v="Senhora"/>
        <s v="A Escrava Isaura"/>
        <s v="Memórias Póstumas de Brás Cubas"/>
        <s v="Várias Histórias"/>
        <s v="Alguma Poesia"/>
        <s v="São Bernardo"/>
        <s v="Vestido de Noiva"/>
        <s v="A Hora e a Vez de Augusto Matraga"/>
        <s v="Romance Negro, Feliz Ano Novo e Outros Contos"/>
        <s v="A Hora da Estrela"/>
        <s v="Auto do Frade"/>
        <s v="Marília de Dirceu"/>
        <s v="Macunaíma"/>
        <s v="Comédias da Vida Privada"/>
        <s v="Todas as Histórias do Analista de Bajé"/>
        <s v="La Reine Soleil"/>
        <s v="Miyamoto Musashi (宮本武蔵)"/>
        <s v="Angels &amp; Demons"/>
        <s v="Einstein: His Life and Universe"/>
        <s v="Преступление и наказание (Prestupleniye i nakazaniye)"/>
        <s v="O Criminalista"/>
        <s v="O Evangelho Segundo Jesus Cristo"/>
        <s v="The Kite Runner"/>
        <s v="Fingerprint"/>
        <s v="La Divina Commedia"/>
        <s v="Il Principe"/>
        <s v="O Segredo do Pai Nosso"/>
        <s v="Os Restos Mortais"/>
        <s v="The Ruins"/>
        <s v="Vale Tudo: Tim Maia"/>
        <s v="Ensaio sobre a Cegueira"/>
        <s v="Caim"/>
        <s v="A Batalha do Apocalipse"/>
        <s v="Alien e Predador versus Lampião"/>
        <s v="Assassin's Creed: Renaissance"/>
        <s v="Erinnerungen an die Zukunft"/>
        <s v="Der Tod in Venedig"/>
        <s v="Mahatma Gandhi"/>
        <s v="Roberto Carlos em Detalhes"/>
        <s v="O Casamento"/>
        <s v="La loca de la casa"/>
        <s v="Inferno"/>
        <s v="Análise Mortal"/>
        <s v="The Children Act"/>
        <s v="The Adventures of Tom Sawyer"/>
        <s v="Шинель (Shinel)"/>
        <s v="Βίος και Πολιτεία του Αλέξη Ζορμπά"/>
        <s v="Il Gattopardo"/>
        <s v="Quase Memória"/>
        <s v="Brothers"/>
        <s v="Limonov"/>
        <s v="Miss Peregrine's Home for Peculiar Children"/>
        <s v="The Joys of Motherhood"/>
        <s v="Uns e Outros: Contos Espelhados"/>
        <s v="Noites Tropicais"/>
        <s v="Manji (卍)"/>
        <s v="Nada"/>
        <s v="Das Versprechen"/>
        <s v="La plaça del Diamant"/>
        <s v="As Três Marias"/>
        <s v="Gravity's Rainbow"/>
        <s v="The Saddlebag"/>
        <s v="Stay With Me"/>
        <s v="I Know Why the Caged Bird Sings"/>
        <s v="Il deserto dei Tartari"/>
        <s v="Things Fall Apart"/>
        <s v="El sueño de los héroes"/>
        <s v="Mawsim al-Hijrah ilá al-Shamál"/>
        <s v="Primavera con una esquina rota"/>
        <s v="Todos Nós Adorávamos Caubóis"/>
        <s v="The Dry"/>
        <s v="L'Arminuta"/>
        <s v="I Am, I Am, I Am: Seventeen Brushes with Death"/>
        <s v="종의 기원"/>
        <s v="The Color of Our Sky"/>
        <s v="Rua Aribau"/>
        <s v="The Only Woman in the Room"/>
        <s v="Autobiografia"/>
        <s v="Guns, Germs, and Steel: The Fates of Human Societies"/>
        <s v="Ainda Estou Aqui"/>
        <s v="El Jardín de Bronce"/>
        <s v="A Midsummer Night's Dream"/>
        <s v="O Alienista"/>
        <s v="Tutti i nostri ieri"/>
        <s v="A Mão e a Luva"/>
        <s v="Rausch der Verwandlung"/>
        <s v="Kokkyō no minami, taiyō no nishi (国境の南、太陽の西)"/>
        <s v="Sostiene Pereira"/>
        <s v="Atocha Station"/>
        <s v="The Brightest Sun"/>
        <s v="Sobre a Ficção. Conversas com Romancistas"/>
        <s v="A Study in Scarlet"/>
        <s v="The Map of Salt and Stars"/>
        <s v="Petit Piment"/>
        <s v="The Red-Haired Woman"/>
        <s v="Frida Kahlo und die Farben des Lebens"/>
        <s v="Gostaria que você estivesse aqui"/>
        <s v="The Girl with the Louding Voice"/>
        <s v="O Pássaro Secreto"/>
        <s v="Partes de um Corpo"/>
        <s v="Partes de uma Casa"/>
        <s v="Mirall trencat"/>
        <s v="Dreams in a Time of War"/>
        <s v="The One Hundred Years of Lenni and Margot"/>
        <s v="La tregua"/>
        <s v="Aprendre a parlar amb les plantes"/>
        <s v="Suzane. Assassina e Manipuladora"/>
        <s v="Claire of the Sea Light"/>
        <s v="Uma Outra História: textos contemporâneos"/>
        <s v="Black Mamba Boy "/>
        <s v="Escritos Negros: textos contemporâneos"/>
        <s v="Longe das Aldeias"/>
        <s v="Heavy: An American Memoir"/>
        <s v="The Henna Artist"/>
        <s v="30 Artistas LGBTQ+"/>
        <s v="How the Penguins Saved Veronica"/>
        <s v="Las malas"/>
        <s v="The Book of Longings"/>
        <s v="O Beijo do Rio"/>
        <s v="Casas Vazias"/>
        <s v="K."/>
        <s v="By the Sea"/>
        <s v="Apocalypse Bébé"/>
        <s v="Las maravillas"/>
        <s v="Migrations"/>
        <s v="Exile"/>
        <s v="How to Get Filthy Rich in Rising Asia"/>
        <s v="S'Adapter"/>
        <s v="Home Fire"/>
        <s v="Colheita de Ossos"/>
        <s v="Oração para Desaparecer"/>
        <s v="The Mountains Sing"/>
        <s v="Contos de Horror da América Latina"/>
        <s v="Ela se chama Rodolfo"/>
        <s v="The Other Princess"/>
        <s v="On Chasil Beach"/>
        <s v="Tuesday Evening with the Copeton Craft Resistance"/>
        <s v="Premier sang"/>
        <s v="Wish You Were Here"/>
        <s v="The Vulnerables"/>
        <s v="23 Minutos"/>
        <s v="A Árvore Mais Sozinha do Mundo"/>
        <s v="Killing Moon"/>
        <s v="Vita mortale e immortale della bambina di Milano"/>
        <s v="Last Summer on State Street"/>
        <s v="The Secret of Joy"/>
        <s v="Uma travessia por perturbações: vinte contos"/>
        <s v="A Voz que Ninguém Escutou"/>
        <s v="The Life Impossible"/>
        <s v="La Mala Costumbra"/>
        <s v="River Spirit"/>
        <s v="This side of Providence"/>
        <s v="Anna O"/>
        <s v="Água Funda"/>
        <s v="The Unmaking of June Farrow"/>
        <s v="Úrsula"/>
        <s v="O Avesso da Pele"/>
        <s v="White Teeth"/>
        <s v="Enzo Ferrari the man, the cars, the races, the machine"/>
        <s v="Os Malaquias"/>
        <s v="Une Belle Vie"/>
        <s v="Go Telkl It on the Mountain"/>
        <s v="The Wedding People"/>
        <s v="Kill For Me Kill For You"/>
        <s v="O Guardados de Águas"/>
        <s v="Swimming in the dark"/>
        <s v="E Se Eu Morrer Amanhã"/>
        <s v="Fernando Carrao"/>
        <s v="Mundos de uma Noite Só"/>
        <s v="Os Lusíadas em quadrinhos"/>
        <s v="Dream Count"/>
        <s v="Fulgor y Muerte de Joaquín Murieta"/>
        <s v="Casa de Papel"/>
        <s v="Jabuticabeira"/>
        <s v="L'Amant"/>
        <s v="The 13-Storey Treehouse"/>
        <s v="Vida Fóssil"/>
        <s v="Anne de Green Gables"/>
        <s v="A River in Darkness: One Man's Escape from North Korea"/>
        <s v="Inquisitorial poemas"/>
        <s v="The Boyfriend"/>
        <s v="Corregidora"/>
        <s v="Vampires of el Norte"/>
        <s v="Diary of a wimpy kid: The Third Wheel"/>
        <s v="L'effondrement"/>
        <s v="Una casa en la arena"/>
        <s v="Maya &amp; Natasha"/>
        <s v="Del amor y otros demonios"/>
        <s v="Fica Comigo"/>
        <s v="The God of the Woods"/>
        <s v="As Aventuras de Mike: priminha irritante no Reino dos Unicórnios"/>
        <s v="The Age of Innocence"/>
        <s v="Six Days in Bombay"/>
        <s v="O Ano do Nirvana"/>
        <s v="Tropique de la violence"/>
        <s v="As Aventuras de Mike"/>
        <s v="Knulp: Drei Geschichten aus dem Leben Knulps"/>
        <s v="Il bambino  che dusegnava le ombre"/>
        <s v="As Aventuras de Mike: A origem de  Robson"/>
        <s v="La Chica de Nieve"/>
        <s v="Mammoth World"/>
        <s v="The Names"/>
        <s v="Gather Together in My Name"/>
        <s v="Dakota Blues"/>
        <s v="Tranorna flyger söderut"/>
        <s v="Museu Vale - Um sonho extramuros"/>
        <s v="Regina Ruschi: A Guardiã das Memórias Ancestrais"/>
        <s v="Listen for the Lie"/>
        <s v="Ailton Krenak: O Rio da Memória"/>
        <s v="Maria Altamira"/>
        <s v="Hilda and the Black Hound"/>
        <s v="Bruno Nunes"/>
        <s v="A Sea of Unspokn Things"/>
        <s v="Diary of a wimpy kid: Cabin Fever"/>
        <s v="Vara în care mama a avut ochii verzi"/>
        <s v="Somos todos Saíra-apunhalada: Uma história sobre o valor da natureza"/>
        <s v="Contos de Humor da América Latina"/>
        <s v="A Lenda do Lagarto Azul"/>
        <s v="O Enigma da família Rener"/>
        <s v="Zwń vida"/>
        <s v="Rick, o Nerd Detetive"/>
        <s v="Pinóquia"/>
        <s v="Mmmmmonstros!"/>
        <s v="O Quintal da Minha Casa"/>
        <s v="The Lion Woman of Tehran"/>
        <s v="What We Can Know"/>
        <s v="Plus grand que le ciel"/>
        <s v="As Aventuras de Mikie: Pé na estrada"/>
        <s v="O Voo do Guará Vermelho"/>
        <s v="Frredom is a feast"/>
        <s v="Sinopse de Amor e Guerra"/>
        <s v="The Autobiography of my Mother"/>
        <s v="Clara dos Anjos"/>
        <s v="The Correspondent"/>
        <s v="Les Armoires vides"/>
        <s v="Briefe an einen jungen Dichter"/>
        <s v="Caracol Sabe Tudo (mas não conta para ninguém)"/>
        <s v="Livro de Quebra Cabeça A Pequena Sereia"/>
        <s v="Junie"/>
        <s v="Férias Animal"/>
      </sharedItems>
    </cacheField>
    <cacheField name="Sexo" numFmtId="0">
      <sharedItems containsBlank="1">
        <s v="F"/>
        <s v="M"/>
        <s v="A"/>
        <s v="N"/>
        <s v="M/F"/>
        <s v="H"/>
        <s v="H/M"/>
        <m/>
      </sharedItems>
    </cacheField>
    <cacheField name="Editora" numFmtId="0">
      <sharedItems containsBlank="1">
        <s v="Ática"/>
        <s v="Melhoramentos"/>
        <s v="Salamandra"/>
        <s v="Rocco"/>
        <s v="Martins Fontes"/>
        <s v="UnB"/>
        <s v="Klick"/>
        <s v="Artenova"/>
        <s v="Círculo do Livro"/>
        <s v="Nova Fronteira"/>
        <s v="Novo Século"/>
        <s v="Martin Claret"/>
        <s v="Ediouro"/>
        <s v="Companhia das Letras"/>
        <s v="Record"/>
        <s v="L&amp;PM Pocket"/>
        <s v="Villa Rica"/>
        <s v="Nova Cultural"/>
        <s v="Bertrand Brasil"/>
        <s v="Sextante"/>
        <s v="WMF Martins Fontes"/>
        <s v="Estação Liberdade"/>
        <s v="Abril"/>
        <s v="Landmark"/>
        <s v="Pocket Ouro"/>
        <s v="Conrad"/>
        <s v="Intrínseca"/>
        <s v="Publifolha"/>
        <s v="Planeta"/>
        <s v="Cleófas"/>
        <s v="Suma de Letras"/>
        <s v="Objetiva"/>
        <s v="Zahar"/>
        <s v="Odysseum"/>
        <s v="Principium"/>
        <s v="LeYa Brasil"/>
        <s v="Gllobo"/>
        <s v="Melhoramentos livraria"/>
        <s v="Verus"/>
        <s v="Chico Editora"/>
        <s v="Hemus"/>
        <s v="Planeta do Brasil"/>
        <s v="Leya"/>
        <s v="Tecnoprint"/>
        <s v="Arqueiro"/>
        <s v="Geração Editorial"/>
        <s v="Ibrasa"/>
        <s v="Dublinense"/>
        <s v="Ar Editora"/>
        <s v="M.Books"/>
        <s v="Penguin Books"/>
        <s v="Grua Livros"/>
        <s v="Biblioteca Azul"/>
        <s v="Alfaguara"/>
        <s v="Harlequin"/>
        <s v="José Olympio"/>
        <s v="Ecco Press"/>
        <s v="HarperCollins Brasil"/>
        <s v="Faro Editora"/>
        <s v="Astral Cultural"/>
        <s v="Morro Branco"/>
        <s v="Paralela"/>
        <s v="Todavia"/>
        <s v="TAG - Experiências Literárias"/>
        <s v="Cambridge University Press"/>
        <s v="Globo Livros"/>
        <s v="Saraiva de Bolso"/>
        <s v="Rádio Londres"/>
        <s v="Malê"/>
        <s v="Tordesilhas"/>
        <s v="Trama"/>
        <s v="Antofágica"/>
        <s v="Chronos"/>
        <s v="Nature"/>
        <s v="Schwarcz"/>
        <s v="Matrix"/>
        <s v="Seguinte"/>
        <s v="TLS Books"/>
        <s v="Roça Nova"/>
        <s v="Gutenberg"/>
        <s v="Verus Editora"/>
        <s v="Ciranda Cultural"/>
        <s v="Alta Books"/>
        <s v="Ambassade de France au Brésil"/>
        <s v="Starlin Alta Editora"/>
        <s v="Agence Litteraire Pierre Astier &amp; Associès"/>
        <s v="Instante"/>
        <s v="DBA"/>
        <s v="ABDR"/>
        <s v="Grupo Autêntica"/>
        <s v="Paris d Hitória"/>
        <s v="Casa dos Livros"/>
        <s v="Editora 34"/>
        <s v="HR LTDA"/>
        <s v="Best Seller"/>
        <s v="FTD"/>
        <s v="Peirópolis"/>
        <s v="Rovelle"/>
        <s v="Fundamento"/>
        <s v="Seiva"/>
        <s v="Pé da Letra"/>
        <s v="Civilização brasileira"/>
        <s v="V&amp;R"/>
        <s v="Desbolsollo"/>
        <s v="Todolivro"/>
        <s v="Vale"/>
        <s v="Leiturinha"/>
        <s v="Mundaréu"/>
        <s v="IMD"/>
        <s v="Spirito Sancto"/>
        <s v="Impresso no Brasil"/>
        <s v="Atica"/>
        <s v="Moderna"/>
        <s v="Fósforo"/>
        <s v="Editora Bicho Esperto"/>
        <m/>
      </sharedItems>
    </cacheField>
    <cacheField name="Século" numFmtId="0">
      <sharedItems containsString="0" containsBlank="1" containsNumber="1" containsInteger="1">
        <n v="20.0"/>
        <n v="21.0"/>
        <n v="19.0"/>
        <n v="18.0"/>
        <n v="14.0"/>
        <n v="16.0"/>
        <m/>
      </sharedItems>
    </cacheField>
    <cacheField name="Década" numFmtId="0">
      <sharedItems containsString="0" containsBlank="1" containsNumber="1" containsInteger="1">
        <n v="40.0"/>
        <n v="60.0"/>
        <n v="70.0"/>
        <n v="80.0"/>
        <n v="90.0"/>
        <n v="30.0"/>
        <n v="0.0"/>
        <n v="50.0"/>
        <n v="20.0"/>
        <n v="10.0"/>
        <m/>
      </sharedItems>
    </cacheField>
    <cacheField name="Ano_publicação" numFmtId="0">
      <sharedItems containsString="0" containsBlank="1" containsNumber="1" containsInteger="1">
        <n v="1944.0"/>
        <n v="1969.0"/>
        <n v="1976.0"/>
        <n v="1982.0"/>
        <n v="1986.0"/>
        <n v="1997.0"/>
        <n v="1998.0"/>
        <n v="1999.0"/>
        <n v="1937.0"/>
        <n v="1949.0"/>
        <n v="2000.0"/>
        <n v="1836.0"/>
        <n v="1862.0"/>
        <n v="1890.0"/>
        <n v="1978.0"/>
        <n v="1980.0"/>
        <n v="2003.0"/>
        <n v="1844.0"/>
        <n v="1853.0"/>
        <n v="1856.0"/>
        <n v="1857.0"/>
        <n v="1865.0"/>
        <n v="1875.0"/>
        <n v="1881.0"/>
        <n v="1896.0"/>
        <n v="1930.0"/>
        <n v="1934.0"/>
        <n v="1943.0"/>
        <n v="1946.0"/>
        <n v="1975.0"/>
        <n v="1977.0"/>
        <n v="1984.0"/>
        <n v="1792.0"/>
        <n v="1928.0"/>
        <n v="1994.0"/>
        <n v="1996.0"/>
        <n v="1988.0"/>
        <n v="2005.0"/>
        <n v="1956.0"/>
        <n v="1970.0"/>
        <n v="1935.0"/>
        <n v="1971.0"/>
        <n v="2001.0"/>
        <n v="2007.0"/>
        <n v="1866.0"/>
        <n v="1939.0"/>
        <n v="1979.0"/>
        <n v="1991.0"/>
        <n v="1321.0"/>
        <n v="1532.0"/>
        <n v="1989.0"/>
        <n v="2008.0"/>
        <n v="2011.0"/>
        <n v="2010.0"/>
        <n v="2006.0"/>
        <n v="1818.0"/>
        <n v="2004.0"/>
        <n v="1985.0"/>
        <n v="1995.0"/>
        <n v="2009.0"/>
        <n v="1958.0"/>
        <n v="1968.0"/>
        <n v="1800.0"/>
        <n v="1912.0"/>
        <n v="1855.0"/>
        <n v="2013.0"/>
        <n v="1948.0"/>
        <n v="1830.0"/>
        <n v="1915.0"/>
        <n v="1966.0"/>
        <n v="1990.0"/>
        <n v="2002.0"/>
        <n v="2014.0"/>
        <n v="1876.0"/>
        <n v="1842.0"/>
        <n v="2017.0"/>
        <n v="1940.0"/>
        <n v="1945.0"/>
        <n v="1962.0"/>
        <n v="1973.0"/>
        <n v="2016.0"/>
        <n v="2018.0"/>
        <n v="1992.0"/>
        <n v="1894.0"/>
        <n v="1954.0"/>
        <n v="1965.0"/>
        <n v="2019.0"/>
        <n v="2015.0"/>
        <n v="2020.0"/>
        <n v="2012.0"/>
        <n v="1595.0"/>
        <n v="1790.0"/>
        <n v="1882.0"/>
        <n v="1895.0"/>
        <n v="1952.0"/>
        <n v="1955.0"/>
        <n v="1874.0"/>
        <n v="1887.0"/>
        <n v="1892.0"/>
        <n v="2021.0"/>
        <n v="1974.0"/>
        <n v="1960.0"/>
        <n v="2022.0"/>
        <n v="1774.0"/>
        <n v="1987.0"/>
        <n v="2023.0"/>
        <n v="1898.0"/>
        <n v="1936.0"/>
        <n v="2024.0"/>
        <n v="1859.0"/>
        <n v="1953.0"/>
        <n v="2025.0"/>
        <n v="1967.0"/>
        <n v="1920.0"/>
        <n v="2026.0"/>
        <n v="1929.0"/>
        <m/>
      </sharedItems>
    </cacheField>
    <cacheField name="Dia" numFmtId="0">
      <sharedItems containsString="0" containsBlank="1" containsNumber="1" containsInteger="1">
        <m/>
        <n v="15.0"/>
        <n v="11.0"/>
        <n v="25.0"/>
        <n v="14.0"/>
        <n v="16.0"/>
        <n v="26.0"/>
        <n v="17.0"/>
        <n v="23.0"/>
        <n v="8.0"/>
        <n v="20.0"/>
        <n v="28.0"/>
        <n v="9.0"/>
        <n v="2.0"/>
        <n v="21.0"/>
        <n v="5.0"/>
        <n v="18.0"/>
        <n v="12.0"/>
        <n v="3.0"/>
        <n v="6.0"/>
        <n v="31.0"/>
        <n v="22.0"/>
        <n v="4.0"/>
        <n v="10.0"/>
        <n v="1.0"/>
        <n v="30.0"/>
        <n v="19.0"/>
        <n v="29.0"/>
        <n v="27.0"/>
        <n v="7.0"/>
        <n v="24.0"/>
        <n v="13.0"/>
      </sharedItems>
    </cacheField>
    <cacheField name="Mês" numFmtId="0">
      <sharedItems containsString="0" containsBlank="1" containsNumber="1" containsInteger="1">
        <m/>
        <n v="6.0"/>
        <n v="11.0"/>
        <n v="12.0"/>
        <n v="4.0"/>
        <n v="5.0"/>
        <n v="7.0"/>
        <n v="8.0"/>
        <n v="2.0"/>
        <n v="3.0"/>
        <n v="1.0"/>
        <n v="10.0"/>
        <n v="9.0"/>
        <n v="18.0"/>
        <n v="26.0"/>
      </sharedItems>
    </cacheField>
    <cacheField name="Ano_leitura" numFmtId="0">
      <sharedItems containsString="0" containsBlank="1" containsNumber="1" containsInteger="1">
        <n v="1999.0"/>
        <n v="2000.0"/>
        <n v="2001.0"/>
        <n v="2002.0"/>
        <n v="2003.0"/>
        <n v="2004.0"/>
        <n v="2005.0"/>
        <n v="2006.0"/>
        <n v="2007.0"/>
        <n v="2008.0"/>
        <n v="2009.0"/>
        <n v="2010.0"/>
        <n v="2011.0"/>
        <n v="2012.0"/>
        <n v="2013.0"/>
        <n v="2014.0"/>
        <n v="2015.0"/>
        <n v="2016.0"/>
        <n v="2017.0"/>
        <n v="2018.0"/>
        <n v="2019.0"/>
        <n v="2020.0"/>
        <n v="2021.0"/>
        <n v="2022.0"/>
        <n v="2023.0"/>
        <n v="2024.0"/>
        <n v="2025.0"/>
        <n v="2026.0"/>
        <m/>
      </sharedItems>
    </cacheField>
    <cacheField name="Origem" numFmtId="0">
      <sharedItems containsBlank="1">
        <s v="Ensino Fundamental"/>
        <s v="Tenho"/>
        <s v="Emprestado"/>
        <s v="Ensino Médio"/>
        <s v="Castelinho"/>
        <s v="Pré-Vestibular"/>
        <s v="CCAUFES"/>
        <s v="E-book"/>
        <s v="KNN"/>
        <s v="Frei José Oseas"/>
        <m/>
      </sharedItems>
    </cacheField>
    <cacheField name="Formato" numFmtId="0">
      <sharedItems containsBlank="1">
        <s v="Livro"/>
        <s v="HQ"/>
        <m/>
      </sharedItems>
    </cacheField>
    <cacheField name="Gênero" numFmtId="0">
      <sharedItems containsBlank="1">
        <s v="Romance"/>
        <s v="Infantil"/>
        <s v="Biografia"/>
        <s v="Poesia"/>
        <s v="Contos"/>
        <s v="Drama"/>
        <s v="Épico-Poético"/>
        <s v="Crônica"/>
        <s v="Manual"/>
        <s v="Auto-ajuda"/>
        <s v="Científico"/>
        <s v="Fotografia"/>
        <s v="Literatura de Cordel"/>
        <s v="HQ"/>
        <s v="Tratado"/>
        <s v="Entrevista"/>
        <s v="Ensaio"/>
        <s v="Epistolar"/>
        <m/>
      </sharedItems>
    </cacheField>
    <cacheField name="Subgênero" numFmtId="0">
      <sharedItems containsBlank="1">
        <s v="Infantojuvenil"/>
        <s v="Autobiografia"/>
        <s v="Fantasia"/>
        <s v="Humor"/>
        <s v="Romantismo"/>
        <s v="Naturalismo"/>
        <s v="Terror"/>
        <s v="Policial/Thriller"/>
        <s v="Realismo"/>
        <s v="Modernismo"/>
        <s v="Arcadismo"/>
        <s v="Romance Histórico"/>
        <s v="Biografia"/>
        <s v="Contemporâneo"/>
        <s v="Épico"/>
        <s v="Iluminismo"/>
        <s v="Teologia"/>
        <s v="História"/>
        <s v="Fotografia"/>
        <s v="Astronomia"/>
        <s v="Psicologia"/>
        <s v="Realismo Fantástico"/>
        <s v="Simbolismo"/>
        <s v="Pseudo-ciência"/>
        <s v="Mitologia"/>
        <s v="Colonialismo"/>
        <s v="Metalinguistico"/>
        <s v="Faroeste"/>
        <s v="Pós-Colonial"/>
        <s v="Guerra"/>
        <s v="Auto-ajuda"/>
        <s v="Gótico Sulista"/>
        <s v="Road Trip"/>
        <s v="Biologia"/>
        <s v="Renascimento"/>
        <s v="Filosofia"/>
        <s v="Entrevista"/>
        <s v="Social"/>
        <s v="Literário"/>
        <s v="Auto-ficção"/>
        <s v="Comédia Romântica"/>
        <s v="Gótico"/>
        <s v="Regionalismo"/>
        <s v="Ficção Científica"/>
        <s v="Ilustração"/>
        <s v="Infantil"/>
        <s v="Africapolitano"/>
        <s v="Autoficção"/>
        <s v="Poesia social"/>
        <s v="Gótico latino"/>
        <s v="Ficção Histórica"/>
        <s v="Publicidade"/>
        <s v="Ensaio filosófico"/>
        <m/>
      </sharedItems>
    </cacheField>
    <cacheField name="Tempo" numFmtId="0">
      <sharedItems containsBlank="1">
        <s v="Era Vargas"/>
        <s v="N/A"/>
        <s v="Ditadura Militar"/>
        <s v="Nova República"/>
        <s v="Contemporâneo"/>
        <s v="3ª Era"/>
        <s v="Império do Brasil"/>
        <s v="Guerras Liberais"/>
        <s v="Primeira República"/>
        <s v="Revolução Americana"/>
        <s v="Idade Média"/>
        <s v="Segundo Reinado"/>
        <s v="Período Colonial"/>
        <s v="Confederação do Equador"/>
        <s v="Era Arthuriana"/>
        <s v="Novo Império"/>
        <s v="Quinta República"/>
        <s v="Expansão para oeste"/>
        <s v="Guerra dos Cem Anos"/>
        <s v="Sengoku-Jidai"/>
        <s v="Guerra do Vietnã"/>
        <s v="Império Austro-Húngaro"/>
        <s v="Rússia Czarista"/>
        <s v="Terceira República Francesa"/>
        <s v="Império Romano"/>
        <s v="República do Afeganistão"/>
        <s v="Segunda Guerra Mundial"/>
        <s v="Renascença"/>
        <s v="Segundo Império Francês"/>
        <s v="Aggiornamento"/>
        <s v="1ª, 2ª, 3ª Era"/>
        <s v="Era Georgiana"/>
        <s v="Guerra dos Mil Dias"/>
        <s v="Gênesis"/>
        <s v="Pré-Homérico"/>
        <s v="Era Vitoriana"/>
        <s v="Vários"/>
        <s v="Dinastia Plantageneta"/>
        <s v="Era Tudor"/>
        <s v="Reino da Itália"/>
        <s v="A Anarquia"/>
        <s v="Raj Britânico"/>
        <s v="Período Clássico"/>
        <s v="Inquisição"/>
        <s v="Espaço"/>
        <s v="Monarquia de Julho"/>
        <s v="Índias Orientais Holandesas"/>
        <s v="Século XX"/>
        <s v="Invasões Vikings"/>
        <s v="Século -VI"/>
        <s v="Covid 19"/>
        <s v="Risorgimento"/>
        <s v="Primeira Guerra Mundial"/>
        <s v="República da China"/>
        <s v="Era Showa"/>
        <s v="Pós-Guerra Civil espanhola"/>
        <s v="Entre Guerras"/>
        <s v="Trinta Anos Gloriosos"/>
        <s v="Guerra Civil espanhola"/>
        <s v="Império Otomano"/>
        <s v="Contracultura"/>
        <s v="Grande Depressão"/>
        <s v="Etapa Radical"/>
        <s v="Pós-Independência"/>
        <s v="Guerra Fria"/>
        <s v="Anos de Chumbo"/>
        <s v="Hollywood Clássica"/>
        <s v="Alemanha Reunificada"/>
        <s v="Democracia"/>
        <s v="Ditadura Pinochet"/>
        <s v="Segundo Reich"/>
        <s v="Era Reagan"/>
        <s v="Salazarismo"/>
        <s v="URSS"/>
        <s v="Apartheid"/>
        <s v="Alemanha Dividida"/>
        <s v="Primavera Árabe"/>
        <s v="República Popular"/>
        <s v="Golpe Militar"/>
        <s v="México Pós-Revolução"/>
        <s v="Franquismo"/>
        <s v="Revolta dos Mau Mau"/>
        <s v="Neobatllismo"/>
        <s v="Pérsia Medieval"/>
        <s v="Tratado da Antártica"/>
        <s v="Governo de Transição"/>
        <s v="Sacro Império Romano-Germânico"/>
        <s v="Revolução de Zanzibar"/>
        <s v="Pós-Franquismo"/>
        <s v="Terceiro Reich"/>
        <s v="Grande Fome"/>
        <s v="Pós-pandemia"/>
        <s v="Revolução Mahdista"/>
        <s v="Grandes Naveagações"/>
        <s v="Indochina franncesa"/>
        <s v="Regime Totalitário Kim"/>
        <s v="Guerra Mexicano-Americana"/>
        <s v="Estado de Compromisso"/>
        <s v="Pós-Guerra"/>
        <s v="Revolução Iraniana"/>
        <s v="Ditadura Chavista"/>
        <s v="Pós-Colonialismo"/>
        <s v="Belle Époque"/>
        <s v="Século XIX"/>
        <s v="Guerra Cilvil Americana"/>
        <m/>
      </sharedItems>
    </cacheField>
    <cacheField name="Ano.H" numFmtId="0">
      <sharedItems containsString="0" containsBlank="1" containsNumber="1" containsInteger="1">
        <n v="1944.0"/>
        <n v="1969.0"/>
        <n v="1976.0"/>
        <n v="1982.0"/>
        <n v="1986.0"/>
        <n v="1991.0"/>
        <n v="1997.0"/>
        <n v="1992.0"/>
        <n v="1999.0"/>
        <n v="2941.0"/>
        <n v="3018.0"/>
        <n v="2000.0"/>
        <n v="1836.0"/>
        <n v="1830.0"/>
        <n v="1890.0"/>
        <n v="1791.0"/>
        <n v="1978.0"/>
        <n v="1327.0"/>
        <n v="2003.0"/>
        <n v="1844.0"/>
        <n v="1853.0"/>
        <n v="1856.0"/>
        <n v="1857.0"/>
        <n v="1862.0"/>
        <n v="1600.0"/>
        <n v="1875.0"/>
        <n v="1881.0"/>
        <n v="1896.0"/>
        <n v="1930.0"/>
        <n v="1934.0"/>
        <n v="1943.0"/>
        <n v="1900.0"/>
        <n v="1975.0"/>
        <n v="1977.0"/>
        <n v="1825.0"/>
        <n v="1792.0"/>
        <n v="1928.0"/>
        <n v="539.0"/>
        <n v="1994.0"/>
        <n v="1996.0"/>
        <n v="-1350.0"/>
        <n v="2005.0"/>
        <n v="1956.0"/>
        <n v="1337.0"/>
        <n v="1971.0"/>
        <n v="1998.0"/>
        <n v="2001.0"/>
        <n v="2007.0"/>
        <n v="1911.0"/>
        <n v="1866.0"/>
        <n v="1939.0"/>
        <n v="1979.0"/>
        <n v="33.0"/>
        <n v="1250.0"/>
        <n v="1945.0"/>
        <n v="1300.0"/>
        <n v="1513.0"/>
        <n v="1989.0"/>
        <n v="2008.0"/>
        <n v="2010.0"/>
        <n v="1962.0"/>
        <n v="-590.0"/>
        <n v="1984.0"/>
        <n v="1450.0"/>
        <n v="2006.0"/>
        <n v="1990.0"/>
        <n v="1818.0"/>
        <n v="2011.0"/>
        <n v="1808.0"/>
        <n v="1970.0"/>
        <n v="472.0"/>
        <n v="1995.0"/>
        <n v="297.0"/>
        <n v="299.0"/>
        <n v="-1900.0"/>
        <n v="2009.0"/>
        <n v="2012.0"/>
        <n v="-2000.0"/>
        <n v="300.0"/>
        <n v="1920.0"/>
        <n v="1150.0"/>
        <n v="1476.0"/>
        <n v="2013.0"/>
        <n v="1587.0"/>
        <n v="550.0"/>
        <n v="1948.0"/>
        <n v="301.0"/>
        <n v="2014.0"/>
        <n v="-500.0"/>
        <n v="1233.0"/>
        <n v="1849.0"/>
        <n v="2016.0"/>
        <n v="1966.0"/>
        <n v="1965.0"/>
        <n v="850.0"/>
        <n v="-560.0"/>
        <n v="2020.0"/>
        <n v="1840.0"/>
        <n v="1861.0"/>
        <n v="1912.0"/>
        <n v="1949.0"/>
        <n v="1850.0"/>
        <n v="1940.0"/>
        <n v="2017.0"/>
        <n v="2002.0"/>
        <n v="1955.0"/>
        <n v="1845.0"/>
        <n v="1985.0"/>
        <n v="2018.0"/>
        <n v="2019.0"/>
        <n v="1935.0"/>
        <n v="1894.0"/>
        <n v="1927.0"/>
        <n v="1941.0"/>
        <n v="1973.0"/>
        <n v="2004.0"/>
        <n v="1960.0"/>
        <n v="1950.0"/>
        <n v="1916.0"/>
        <n v="1988.0"/>
        <n v="1937.0"/>
        <n v="1987.0"/>
        <n v="1980.0"/>
        <n v="1790.0"/>
        <n v="1865.0"/>
        <n v="1882.0"/>
        <n v="1888.0"/>
        <n v="1874.0"/>
        <n v="1938.0"/>
        <n v="1925.0"/>
        <n v="1887.0"/>
        <n v="1967.0"/>
        <n v="1954.0"/>
        <n v="1892.0"/>
        <n v="2021.0"/>
        <n v="1952.0"/>
        <n v="2015.0"/>
        <n v="1072.0"/>
        <n v="2022.0"/>
        <n v="1750.0"/>
        <n v="1774.0"/>
        <n v="1694.0"/>
        <n v="2100.0"/>
        <n v="2023.0"/>
        <n v="1933.0"/>
        <n v="1898.0"/>
        <n v="1870.0"/>
        <n v="1880.0"/>
        <n v="2024.0"/>
        <n v="1885.0"/>
        <n v="1859.0"/>
        <n v="1929.0"/>
        <n v="1572.0"/>
        <n v="2025.0"/>
        <n v="1846.0"/>
        <n v="1749.0"/>
        <n v="2026.0"/>
        <n v="1883.0"/>
        <n v="1961.0"/>
        <n v="1921.0"/>
        <n v="1903.0"/>
        <n v="1863.0"/>
        <n v="1860.0"/>
        <m/>
      </sharedItems>
    </cacheField>
    <cacheField name="Mes.H" numFmtId="0">
      <sharedItems containsString="0" containsBlank="1" containsNumber="1" containsInteger="1">
        <m/>
        <n v="1.0"/>
        <n v="5.0"/>
        <n v="4.0"/>
        <n v="10.0"/>
        <n v="9.0"/>
        <n v="12.0"/>
        <n v="6.0"/>
        <n v="3.0"/>
        <n v="7.0"/>
        <n v="8.0"/>
        <n v="11.0"/>
        <n v="2.0"/>
      </sharedItems>
    </cacheField>
    <cacheField name="Dia.H" numFmtId="0">
      <sharedItems containsString="0" containsBlank="1" containsNumber="1" containsInteger="1">
        <m/>
        <n v="27.0"/>
        <n v="11.0"/>
        <n v="30.0"/>
        <n v="3.0"/>
        <n v="26.0"/>
        <n v="15.0"/>
        <n v="13.0"/>
        <n v="12.0"/>
        <n v="10.0"/>
        <n v="21.0"/>
        <n v="25.0"/>
        <n v="7.0"/>
        <n v="16.0"/>
        <n v="17.0"/>
        <n v="31.0"/>
      </sharedItems>
    </cacheField>
    <cacheField name="Origem.local" numFmtId="0">
      <sharedItems containsBlank="1">
        <s v="Terra"/>
        <s v="Fantasia"/>
        <s v="Vários"/>
        <s v="Espaço"/>
        <m/>
      </sharedItems>
    </cacheField>
    <cacheField name="Continente.H" numFmtId="0">
      <sharedItems containsBlank="1">
        <s v="América"/>
        <s v="Fantasia"/>
        <s v="Europa"/>
        <s v="África"/>
        <s v="Ásia"/>
        <s v="Vários"/>
        <s v="Espaço"/>
        <s v="Oceania"/>
        <s v="Antártica"/>
        <m/>
      </sharedItems>
    </cacheField>
    <cacheField name="País.H" numFmtId="0">
      <sharedItems containsBlank="1">
        <s v="Brasil"/>
        <s v="Imaginação"/>
        <s v="Escócia"/>
        <s v="Arda"/>
        <s v="Portugal"/>
        <s v="USA"/>
        <s v="Darkover"/>
        <s v="Itália"/>
        <s v="Inglaterra"/>
        <s v="Egito"/>
        <s v="França"/>
        <s v="Nárnia"/>
        <s v="Japão"/>
        <s v="República Tcheca"/>
        <s v="Rússia"/>
        <s v="Palestina"/>
        <s v="Alfeganistão"/>
        <s v="Inferno"/>
        <s v="Djelibeybi"/>
        <s v="Vários"/>
        <s v="Vaticano"/>
        <s v="México"/>
        <s v="Fantasia"/>
        <s v="Espaço"/>
        <s v="Colômbia"/>
        <s v="Noruega"/>
        <s v="Westeros"/>
        <s v="Sodoma e Gomorra"/>
        <s v="Grécia"/>
        <s v="Índia"/>
        <s v="Indonésia"/>
        <s v="Discworld"/>
        <s v="Irlanda"/>
        <s v="Espanha"/>
        <s v="Turquia"/>
        <s v="Camorr"/>
        <s v="China"/>
        <s v="País de Gales"/>
        <s v="Nigéria"/>
        <s v="Suíça"/>
        <s v="Bélgica"/>
        <s v="Bielorussia"/>
        <s v="Temerant"/>
        <s v="Arábia Saudita"/>
        <s v="Argentina"/>
        <s v="Sudão"/>
        <s v="Uruguai"/>
        <s v="Austrália"/>
        <s v="Alemanha"/>
        <s v="Coréia do Sul"/>
        <s v="Áustria"/>
        <s v="Chile"/>
        <s v="País das Maravilhas"/>
        <s v="Gana"/>
        <s v="África do Sul"/>
        <s v="Quênia"/>
        <s v="Síria"/>
        <s v="República do Congo"/>
        <s v="Moçambique"/>
        <s v="Haiti"/>
        <s v="Iêmen"/>
        <s v="Irã"/>
        <s v="Antártica"/>
        <s v="Tanzania"/>
        <s v="Israel"/>
        <s v="Nova Zelândia"/>
        <s v="Dinamarca"/>
        <s v="Paquistão"/>
        <s v="Vietnã"/>
        <s v="Equador"/>
        <s v="Olinka"/>
        <s v="Polônia"/>
        <s v="Coréia do Norte"/>
        <s v="Suécia"/>
        <s v="Venezuela"/>
        <s v="Dominica"/>
        <s v="Romênia"/>
        <m/>
      </sharedItems>
    </cacheField>
    <cacheField name="Local" numFmtId="0">
      <sharedItems containsBlank="1">
        <s v="São Paulo"/>
        <s v="Imaginação"/>
        <s v="Brasil"/>
        <s v="Escócia"/>
        <s v="Vários"/>
        <s v="Terra Média"/>
        <s v="Rio de Janeiro"/>
        <s v="Porto"/>
        <s v="Louisiana"/>
        <s v="Darkover"/>
        <s v="Lazio"/>
        <s v="Ceará"/>
        <s v="Minas Geraes"/>
        <s v="Alagoas"/>
        <s v="Pernambuco"/>
        <s v="Glastonburry"/>
        <s v="Rio Grande do Sul"/>
        <s v="Tell el-Amarna"/>
        <s v="Paris"/>
        <s v="Nárnia"/>
        <s v="USA"/>
        <s v="Dorset"/>
        <s v="Kyoto"/>
        <s v="Washington DC"/>
        <s v="Roma"/>
        <s v="Praga"/>
        <s v="São Petesburgo"/>
        <s v="Espírito Santo"/>
        <s v="Galileia"/>
        <s v="Cabul"/>
        <s v="Úmbria"/>
        <s v="Inferno"/>
        <s v="Florença"/>
        <s v="Djelibeybi"/>
        <s v="Washington"/>
        <s v="Normandia"/>
        <s v="Vaticano"/>
        <s v="Nova York"/>
        <s v="Hogwarts"/>
        <s v="Yucatán"/>
        <s v="N/A"/>
        <s v="Silésia"/>
        <s v="Espaço"/>
        <s v="Cartagena das Índias"/>
        <s v="Noruega"/>
        <s v="Portugal"/>
        <s v="Westeros"/>
        <s v="Texas"/>
        <s v="Nevada"/>
        <s v="Nova Jersey"/>
        <s v="Sodoma e Gomorra"/>
        <s v="Grécia"/>
        <s v="Londres"/>
        <s v="Rio Grande no Norte"/>
        <s v="Nottingham"/>
        <s v="Veneza"/>
        <s v="Kingsbridge"/>
        <s v="Nova Déli"/>
        <s v="Califórnia"/>
        <s v="Verrières"/>
        <s v="Samburan"/>
        <s v="Holy Wood"/>
        <s v="Genua"/>
        <s v="Dublin"/>
        <s v="Madri"/>
        <s v="Wessex"/>
        <s v="Missouri"/>
        <s v="Creta"/>
        <s v="Sicília"/>
        <s v="Massachusetts"/>
        <s v="Istambul"/>
        <s v="Camorr"/>
        <s v="Pequim"/>
        <s v="Rússia"/>
        <s v="Oregon"/>
        <s v="Cairnholm"/>
        <s v="Nairobi"/>
        <s v="Maine"/>
        <s v="Osaka"/>
        <s v="Catalunha"/>
        <s v="Yorkshire"/>
        <s v="Zurique"/>
        <s v="Antuérpia"/>
        <s v="Bielorussia"/>
        <s v="Delaware"/>
        <s v="Temerant"/>
        <s v="Georgia"/>
        <s v="Meca"/>
        <s v="Geórgia"/>
        <s v="Washington "/>
        <s v="Colorado"/>
        <s v="Fantasia"/>
        <s v="Ibolândia"/>
        <s v="Buenos Aires"/>
        <s v="Cartum"/>
        <s v="Ohio"/>
        <s v="Uruguai"/>
        <s v="Oxfodshire"/>
        <s v="Austrália"/>
        <s v="Abruzzo"/>
        <s v="França"/>
        <s v="Westerwald"/>
        <s v="Michigan"/>
        <s v="Flórida"/>
        <s v="Inglaterra"/>
        <s v="Gun-do"/>
        <s v="Maarastra"/>
        <s v="Viena"/>
        <s v="Lisboa"/>
        <s v="Sussex"/>
        <s v="New Jersey"/>
        <s v="Beaumont"/>
        <s v="Santiago"/>
        <s v="Atenas"/>
        <s v="Bath"/>
        <s v="País das Maravilhas"/>
        <s v="Prússia"/>
        <s v="Piemonte"/>
        <s v="Pontresina"/>
        <s v="Tókio"/>
        <s v="Acra"/>
        <s v="Joanesburgo"/>
        <s v="Blackheath"/>
        <s v="Ilha de Jeju"/>
        <s v="Nakuru"/>
        <s v="Lagos"/>
        <s v="Síria"/>
        <s v="Loango"/>
        <s v="Cidade do México"/>
        <s v="Pensilvânia"/>
        <s v="Fenlands"/>
        <s v="Rhode Island"/>
        <s v="Paraíba"/>
        <s v="Sofala"/>
        <s v="Bedfordshire"/>
        <s v="Kiambu"/>
        <s v="Glasgow"/>
        <s v="Montevidéu"/>
        <s v="Ville Rose"/>
        <s v="Áden"/>
        <s v="Tennessee"/>
        <s v="Mississipi"/>
        <s v="Rajastão"/>
        <s v="Samarcanda"/>
        <s v="Ilha Locket"/>
        <s v="Córdoba"/>
        <s v="Wahlheim"/>
        <s v="Zanzibar"/>
        <s v="Víirgnia"/>
        <s v="Nicósia"/>
        <s v="Biward"/>
        <s v="Bretanha"/>
        <s v="Jerusalém"/>
        <s v="North Carolina"/>
        <s v="Auckland"/>
        <s v="Groelândia"/>
        <s v="Tasmânia"/>
        <s v="Lahore"/>
        <s v="Cévennes"/>
        <s v="Santa Catarina"/>
        <s v="Porto Príncipe"/>
        <s v="Hánoi"/>
        <s v="Carolina do Norte"/>
        <s v="Liverpool"/>
        <s v="Idaho"/>
        <s v="Melborne"/>
        <s v="Ardenas"/>
        <s v="Galápagos"/>
        <s v="Distrito Federal"/>
        <s v="Oslo"/>
        <s v="Nápoles"/>
        <s v="Illinois"/>
        <s v="Olinka"/>
        <s v="Baleares"/>
        <s v="Maranhão"/>
        <s v="Emília-Romanha"/>
        <s v="Mata Grosso do Sul"/>
        <s v="Polônia"/>
        <s v="Saigon"/>
        <s v="Casa da Árvore"/>
        <s v="Green Gablkes"/>
        <s v="Coréia do Norte"/>
        <s v="Kentucky"/>
        <s v="Tamaulipas"/>
        <s v="Somme"/>
        <s v="Valparaíso"/>
        <s v="Mayotte"/>
        <s v="Baden-Württemberg"/>
        <s v="Oświęcim"/>
        <s v="Jämtland"/>
        <s v="Pará"/>
        <s v="Trolburgo"/>
        <s v="Toscana"/>
        <s v="Teerã"/>
        <s v="Gironda"/>
        <s v="Caracas"/>
        <s v="Berlim"/>
        <s v="São Jorge"/>
        <s v="Maryland"/>
        <s v="Transilvânia"/>
        <s v="Vila Caracol"/>
        <s v="Alabama"/>
        <m/>
      </sharedItems>
    </cacheField>
    <cacheField name="Cenário" numFmtId="0">
      <sharedItems containsBlank="1">
        <s v="Taubaté"/>
        <s v="Imaginação"/>
        <s v="Brasil"/>
        <s v="Bexiga"/>
        <s v="São Paulo"/>
        <s v="Hogwarts"/>
        <s v="Navio"/>
        <s v="Terra Média"/>
        <s v="Viagem"/>
        <s v="Rio de Janeiro"/>
        <s v="Porto"/>
        <s v="Botafogo"/>
        <s v="Nova Orleans"/>
        <s v="Fantasia Medieval"/>
        <s v="Lazio"/>
        <s v="Osasco"/>
        <s v="Ilha de Paquetá"/>
        <s v="Centro"/>
        <s v="Floresta"/>
        <s v="Santa Tereza"/>
        <s v="Ipú"/>
        <s v="Laranjeiras"/>
        <s v="Campos de Goytacazes"/>
        <s v="Itabira"/>
        <s v="Alagoas"/>
        <s v="Cinelândia"/>
        <s v="Pindaíbas"/>
        <s v="São Conrado"/>
        <s v="São Cristóvão"/>
        <s v="Recife"/>
        <s v="Ouro Preto"/>
        <s v="Vários"/>
        <s v="Avalon"/>
        <s v="Cidade"/>
        <s v="Bagé"/>
        <s v="Akhetaten"/>
        <s v="Louvre"/>
        <s v="Fantasia"/>
        <s v="Nação Syoux"/>
        <s v="Hookton"/>
        <s v="Kyoto"/>
        <s v="Colúmbia"/>
        <s v="Washington DC"/>
        <s v="Roma"/>
        <s v="Praga"/>
        <s v="São Petesburgo"/>
        <s v="Paris"/>
        <s v="Vitória"/>
        <s v="Galileia"/>
        <s v="Pádua"/>
        <s v="Reinos Celestiais"/>
        <s v="Florença"/>
        <s v="Reinado"/>
        <s v="Forks"/>
        <s v="Yonville-l'Abbaye"/>
        <s v="Vaticano"/>
        <s v="Nova York"/>
        <s v="Yucatán"/>
        <s v="Mosteiro"/>
        <s v="Tijuca"/>
        <s v="Silésia"/>
        <s v="Espaço"/>
        <s v="Cartagena das Índias"/>
        <s v="Noruega"/>
        <s v="Portugal"/>
        <s v="Feudo"/>
        <s v="San Antônio"/>
        <s v="Salinas"/>
        <s v="Long Island"/>
        <s v="Sodoma e Gomorra"/>
        <s v="Grécia"/>
        <s v="Londres"/>
        <s v="Rio Grande no Norte"/>
        <s v="Sherwood"/>
        <s v="Veneza"/>
        <s v="Kingsbridge"/>
        <s v="Nova Déli"/>
        <s v="Los Angeles"/>
        <s v="Nave Espacial"/>
        <s v="Verrières"/>
        <s v="Samburan"/>
        <s v="Lins de Vasconcelos"/>
        <s v="Holy Wood"/>
        <s v="Dublin"/>
        <s v="Madri"/>
        <s v="Notúmbria"/>
        <s v="Wigmore Hall"/>
        <s v="St. Petersburg"/>
        <s v="Heraclión"/>
        <s v="Palermo"/>
        <s v="N/A"/>
        <s v="USA"/>
        <s v="Massachusetts"/>
        <s v="Istambul"/>
        <s v="Rússia"/>
        <s v="Oregon"/>
        <s v="Escola"/>
        <s v="Nairobi"/>
        <s v="Maine"/>
        <s v="Ipanema"/>
        <s v="Osaka"/>
        <s v="L'Antiga Esquerra de l'Eixample"/>
        <s v="Brideshead"/>
        <s v="Zurique"/>
        <s v="Gràcia"/>
        <s v="Fortaleza"/>
        <s v="Antuérpia"/>
        <s v="Bielorussia"/>
        <s v="Wilmington"/>
        <s v="Hotel Chelsea"/>
        <s v="Georgia"/>
        <s v="Meca"/>
        <s v="Pikeville"/>
        <s v="Seattle"/>
        <s v="Denver"/>
        <s v="St. Louis"/>
        <s v="Christminster"/>
        <s v="Geórgia"/>
        <s v="Umuófia"/>
        <s v="Buenos Aires"/>
        <s v="Cartum"/>
        <s v="Lorain"/>
        <s v="Uruguai"/>
        <s v="Nova Jersey"/>
        <s v="Oxford"/>
        <s v="Rio Grande do Sul"/>
        <s v="Kiewarra"/>
        <s v="Abruzzo"/>
        <s v="Hollywood"/>
        <s v="França"/>
        <s v="Westerwald"/>
        <s v="Michigan"/>
        <s v="Atlanta"/>
        <s v="Key West"/>
        <s v="Inglaterra"/>
        <s v="Incheon"/>
        <s v="Bombaim"/>
        <s v="Viena"/>
        <s v="Lisboa"/>
        <s v="Sussex"/>
        <s v="Vila Madalena"/>
        <s v="New Jersey"/>
        <s v="Ilha de Beaumnt"/>
        <s v="Atenas"/>
        <s v="Bath"/>
        <s v="País das Maravilhas"/>
        <s v="Itaguaí"/>
        <s v="Berlim"/>
        <s v="Mentone"/>
        <s v="Pontresina"/>
        <s v="Tókio"/>
        <s v="Acra"/>
        <s v="Joanesburgo"/>
        <s v="Southall"/>
        <s v="Blackheath"/>
        <s v="Berlim Ocidental"/>
        <s v="Ilha de Jeju"/>
        <s v="Nakuru"/>
        <s v="Santa Lora"/>
        <s v="Woodview"/>
        <s v="São Francisco"/>
        <s v="Lagos"/>
        <s v="Flórida"/>
        <s v="Síria"/>
        <s v="Pointe-Noire"/>
        <s v="Coyoacán"/>
        <s v="Filadélfia"/>
        <s v="Medallion"/>
        <s v="Fenlands"/>
        <s v="Arkham"/>
        <s v="Newalk"/>
        <s v="Arpoador"/>
        <s v="Campina Grande"/>
        <s v="Barcelona"/>
        <s v="Clapham"/>
        <s v="Beira"/>
        <s v="Bedford"/>
        <s v="Limuru"/>
        <s v="Glasgow"/>
        <s v="Montevidéu"/>
        <s v="Tremembé"/>
        <s v="Brooklyn"/>
        <s v="Ville Rose"/>
        <s v="Áden"/>
        <s v="Casa"/>
        <s v="Jackson"/>
        <s v="Jaipur"/>
        <s v="Samarcanda"/>
        <s v="Ilha"/>
        <s v="Praça Sarmiento"/>
        <s v="Séforis"/>
        <s v="Ubiratã"/>
        <s v="Cidade do México"/>
        <s v="Beco do Urso"/>
        <s v="Greenwich"/>
        <s v="Wetzlar"/>
        <s v="Zanzibar"/>
        <s v="Prisão Lumpkin"/>
        <s v="Copacabana"/>
        <s v="Boston"/>
        <s v="Nicósia"/>
        <s v="Montanhas Catskill"/>
        <s v="Biward"/>
        <s v="Crozon"/>
        <s v="Jerusalém"/>
        <s v="Sunshine Falls"/>
        <s v="Detroid"/>
        <s v="Praia"/>
        <s v="Groelândia"/>
        <s v="Ilha de Flinders"/>
        <s v="Lahore"/>
        <s v="Sowel Bay"/>
        <s v="Chapecó"/>
        <s v="Memphis"/>
        <s v="Nelhio"/>
        <s v="Almofala"/>
        <s v="Hánoi"/>
        <s v="Bly"/>
        <s v="Carolina do Norte"/>
        <s v="Crosby"/>
        <s v="Porto Alegre"/>
        <s v="Harlem"/>
        <s v="Texas"/>
        <s v="Pierse"/>
        <s v="Chesil Beach"/>
        <s v="Copeton"/>
        <s v="Pomt d’Oye"/>
        <s v="Ilha Isabela"/>
        <s v="Pedra Redonda"/>
        <s v="Oslo"/>
        <s v="Nápoles"/>
        <s v="Chicago"/>
        <s v="Olinka"/>
        <s v="Ibiza"/>
        <s v="San Blas"/>
        <s v="Providence"/>
        <s v="Vale do Paraíba"/>
        <s v="Jasper"/>
        <s v="Guimarães"/>
        <s v="Modena"/>
        <s v="Serra Morena"/>
        <s v="Saint-Malo"/>
        <s v="Newport"/>
        <s v="Pantanal"/>
        <s v="Polônia"/>
        <s v="Califórnia"/>
        <s v="Saigon"/>
        <s v="Casa da Árvore"/>
        <s v="Vila"/>
        <s v="Vila/Cidade"/>
        <s v="Manhattam"/>
        <s v="Louisville"/>
        <s v="Haciendas"/>
        <s v="Amiens"/>
        <s v="Isla Negra"/>
        <s v="Montanhas Adirondack"/>
        <s v="Mamoudzou"/>
        <s v="Floresta Negra"/>
        <s v="Auschwitz"/>
        <s v="Hissmorfors"/>
        <s v="Plumpton"/>
        <s v="Colatina"/>
        <s v="Itabirinha"/>
        <s v="Altamira"/>
        <s v="Árvore"/>
        <s v="Six Rivers"/>
        <s v="Castelo"/>
        <s v="Domingo Martins"/>
        <s v="San Miniato Basso"/>
        <s v="Teerã"/>
        <s v="Celeiro"/>
        <s v="Bordeaux"/>
        <s v="João Pessoa"/>
        <s v="Caracas"/>
        <s v="Roseau"/>
        <s v="Cachambi"/>
        <s v="Annapolis"/>
        <s v="Yvetot"/>
        <s v="Timișoara"/>
        <s v="Lowndes County"/>
        <m/>
      </sharedItems>
    </cacheField>
    <cacheField name="Esfera" numFmtId="0">
      <sharedItems containsBlank="1">
        <s v="Vida"/>
        <s v="Mente"/>
        <s v="Vida/Mente"/>
        <s v="Matéria"/>
        <s v="Primórdio/Matéria"/>
        <s v="Primórdio/Correspondência"/>
        <s v="Tempo"/>
        <s v="Primórdio"/>
        <s v="Espírito"/>
        <s v="Matéria/Vida"/>
        <s v="Espírito/Mente"/>
        <s v="Mente/Entropi"/>
        <s v="Correspondência"/>
        <s v="Vida/Entropia"/>
        <s v="Forças"/>
        <s v="Mente/Entropia"/>
        <s v="Vida/Matéria"/>
        <s v="Mente/Forças"/>
        <s v="Correspondência/Forças"/>
        <s v="Tempo/Mente"/>
        <s v="Entropia/Vida"/>
        <s v="Tempo/Correspondência"/>
        <s v="Mente/Tempo"/>
        <s v="Mente/Primórdio"/>
        <s v="Primórdio/Mente"/>
        <s v="Correspondência/Entropia"/>
        <s v="Mente/Primórdio/Tempo"/>
        <s v="Entropia"/>
        <s v="Correspondência/Mente"/>
        <s v="Matéria/Correspondência"/>
        <s v="Vida/Primórdio"/>
        <s v="Matéria/Mente"/>
        <s v="Entropia/Mente"/>
        <s v="Tempo/Entropia"/>
        <s v="Entropia/Matéria"/>
        <s v="Matéria/Primórdio"/>
        <s v="Entropia/Correspondência"/>
        <s v="Entropia/Tempo"/>
        <s v="Correspondência/Vida"/>
        <s v="Tempo/Primórdio"/>
        <s v="Correspondência/Entropia/Mente"/>
        <s v="Matéria/Entropia"/>
        <s v="Mente/Vida"/>
        <s v="Entropia/Espírito"/>
        <s v="Vida/Correspodência"/>
        <m/>
      </sharedItems>
    </cacheField>
    <cacheField name="Cultura" numFmtId="0">
      <sharedItems containsBlank="1">
        <s v="Infância"/>
        <s v="Cores"/>
        <s v="Adolescência"/>
        <s v="Camponesa"/>
        <s v="Bruxaria"/>
        <s v="Doença"/>
        <s v="Fantasia Medieval"/>
        <s v="História"/>
        <s v="Amor"/>
        <s v="Pobreza"/>
        <s v="Imortalidade"/>
        <s v="Outros mundos"/>
        <s v="Assassinato"/>
        <s v="Sobrenatural"/>
        <s v="Indianismo"/>
        <s v="Escravidão"/>
        <s v="Fantasma"/>
        <s v="Subúrbio"/>
        <s v="Enriquecimento"/>
        <s v="Morte"/>
        <s v="Brasil"/>
        <s v="Sertanejo"/>
        <s v="Urbana"/>
        <s v="Antigo Egito"/>
        <s v="Arte"/>
        <s v="Contos de Fadas"/>
        <s v="Título"/>
        <s v="Samurai"/>
        <s v="Demônio"/>
        <s v="Tecnologia"/>
        <s v="Ciência"/>
        <s v="Crime"/>
        <s v="Existencialismo"/>
        <s v="Judiciário"/>
        <s v="Judaica"/>
        <s v="Guerra"/>
        <s v="Religiosa"/>
        <s v="Patriarcado"/>
        <s v="N/A"/>
        <s v="Máfia"/>
        <s v="Terra Média"/>
        <s v="Asteca"/>
        <s v="Filosofia"/>
        <s v="Distópico"/>
        <s v="Roubo"/>
        <s v="Zoologia"/>
        <s v="Mitologia"/>
        <s v="Renascença"/>
        <s v="Nobreza"/>
        <s v="Construção"/>
        <s v="Super-Heróis"/>
        <s v="Espaço"/>
        <s v="Sexo"/>
        <s v="Cinema"/>
        <s v="Escrita"/>
        <s v="Viking"/>
        <s v="Negra"/>
        <s v="Memória"/>
        <s v="Mudança"/>
        <s v="Atlântida"/>
        <s v="Ditadura"/>
        <s v="Contra-cultura"/>
        <s v="Ouro"/>
        <s v="Nigeriana"/>
        <s v="Solidão"/>
        <s v="Psicológico"/>
        <s v="Escola"/>
        <s v="Violência"/>
        <s v="Fuga"/>
        <s v="Islamismo"/>
        <s v="Loucura"/>
        <s v="Afro-americana"/>
        <s v="Sulista Americano"/>
        <s v="Igbo"/>
        <s v="Carnaval"/>
        <s v="Mentira"/>
        <s v="Viagem"/>
        <s v="Fogo"/>
        <s v="Espionagem"/>
        <s v="Premonição"/>
        <s v="Terceira Idade"/>
        <s v="Americana"/>
        <s v="Ecologia"/>
        <s v="Contemporânea"/>
        <s v="Greco-Romana"/>
        <s v="Inglesa"/>
        <s v="Nazifacista"/>
        <s v="Hippie"/>
        <s v="Japonesa"/>
        <s v="Portuquesa"/>
        <s v="Ganesa"/>
        <s v="Xhosa"/>
        <s v="Punjab"/>
        <s v="LGBT"/>
        <s v="Repetição"/>
        <s v="Haenyeou"/>
        <s v="Massai"/>
        <s v="Serrial Killer"/>
        <s v="Literatura"/>
        <s v="Música"/>
        <s v="Africana"/>
        <s v="Supremassista"/>
        <s v="Árabe"/>
        <s v="Congolesa"/>
        <s v="Turca"/>
        <s v="Mexicana"/>
        <s v="Drogas"/>
        <s v="Feminismo"/>
        <s v="Terror"/>
        <s v="Catalã"/>
        <s v="Queniana"/>
        <s v="Hospital"/>
        <s v="Latina"/>
        <s v="Penitenciária"/>
        <s v="Política"/>
        <s v="Persa"/>
        <s v="Travesti"/>
        <s v="Cristianismo"/>
        <s v="Maternidade"/>
        <s v="Alemã"/>
        <s v="Cipriota"/>
        <s v="Francesa"/>
        <s v="Indiana"/>
        <s v="Editorial"/>
        <s v="Surf"/>
        <s v="Naval"/>
        <s v="Paquistanesa"/>
        <s v="Litorânea"/>
        <s v="Sulista Brasileira"/>
        <s v="Ocidental"/>
        <s v="Vudu"/>
        <s v="Tremembé"/>
        <s v="Vientnamita"/>
        <s v="Vitoriana"/>
        <s v="Texana"/>
        <s v="Chinesa"/>
        <s v="Belga"/>
        <s v="Gaúcha"/>
        <s v="Nórdica"/>
        <s v="Italiana"/>
        <s v="Espanhola"/>
        <s v="Portoriquenha"/>
        <s v="Polonesa"/>
        <s v="Portuguesa"/>
        <s v="Brasileira"/>
        <s v="Chilena"/>
        <s v="Interior"/>
        <s v="Coreana"/>
        <s v="Blues"/>
        <s v="Ballet"/>
        <s v="Catolica"/>
        <s v="Acampamento"/>
        <s v="Suéca"/>
        <s v="Yudjá"/>
        <s v="Caribenha"/>
        <s v="Futebol"/>
        <s v="Navegação"/>
        <m/>
      </sharedItems>
    </cacheField>
    <cacheField name="Fantasia" numFmtId="0">
      <sharedItems containsBlank="1">
        <s v="N/A"/>
        <s v="Magia"/>
        <s v="Morte"/>
        <s v="Vampiro"/>
        <s v="Cristianismo"/>
        <s v="Fantasma"/>
        <s v="Mitologia Grega"/>
        <s v="Folclore"/>
        <s v="Monstro"/>
        <s v="Plantas"/>
        <s v="Cegueira"/>
        <s v="Mitologia"/>
        <s v="Alien"/>
        <s v="Hobbin Hood"/>
        <s v="Rei Arthur"/>
        <s v="Heróis"/>
        <s v="Incesto"/>
        <s v="Mitologia Nórdica"/>
        <s v="Início da Civilização"/>
        <s v="Trilho de Trem"/>
        <s v="Realidade alternativa"/>
        <s v="Egwugwu"/>
        <s v="País das Maravilhas"/>
        <s v="Sistema"/>
        <s v="Americana"/>
        <s v="Vida após a morte"/>
        <s v="Combustão expontânea"/>
        <s v="LGBT"/>
        <s v="Seita"/>
        <s v="Veneno"/>
        <s v="Sonhar"/>
        <s v="Extinção em massa"/>
        <s v="Animal"/>
        <s v="Encantados"/>
        <s v="Buba Yali"/>
        <s v="Viagem no tempo"/>
        <s v="Salácia"/>
        <s v="Mãe D’Água"/>
        <s v="Clássica"/>
        <s v="Vampiros"/>
        <s v="Catolicismo"/>
        <s v="Unicórnio"/>
        <s v="Espírito"/>
        <s v="Dragão"/>
        <s v="Multiverso"/>
        <s v="Duendes"/>
        <s v="Gêmeos"/>
        <s v="Pós-apocaliptico"/>
        <s v="Sereias"/>
        <m/>
      </sharedItems>
    </cacheField>
    <cacheField name="Coleção" numFmtId="0">
      <sharedItems containsBlank="1">
        <s v="Coleção Vaga-Lume"/>
        <s v="N/A"/>
        <s v="Harry Potter"/>
        <s v="Terra Média"/>
        <s v="Crônicas Arturianas"/>
        <s v="Robert Langdon"/>
        <s v="A Busca do Graal"/>
        <s v="Discworld"/>
        <s v="Crepúsculo"/>
        <s v="As Crônicas de Gelo e Fogo"/>
        <s v="Percy Jackson e os Olimpianos"/>
        <s v="Crônicas do Fora da Lei"/>
        <s v="Assassin's Creed"/>
        <s v="As Crônicas de Artur"/>
        <s v="TAG"/>
        <s v="Crônicas Saxônicas"/>
        <s v="Os Nobres Vigaristas"/>
        <s v="Vozes Negras"/>
        <s v="Crônicas do Matador do Rei"/>
        <s v="Casa na Árvore"/>
        <s v="Diário de um Banana"/>
        <s v="As Aventuras de Mike"/>
        <s v="Happy Books"/>
        <s v="Vidas em Cordel"/>
        <s v="Hildafolk"/>
        <s v="Leiturinha"/>
        <s v="Pinóquio"/>
        <s v="Bicho Esperto"/>
        <m/>
      </sharedItems>
    </cacheField>
    <cacheField name="Idioma" numFmtId="0">
      <sharedItems containsBlank="1">
        <s v="Português"/>
        <s v="Inglês"/>
        <s v="Espanhol"/>
        <m/>
      </sharedItems>
    </cacheField>
    <cacheField name="Enredo/Escrita" numFmtId="0">
      <sharedItems containsString="0" containsBlank="1" containsNumber="1" containsInteger="1">
        <n v="7.0"/>
        <n v="3.0"/>
        <n v="4.0"/>
        <n v="9.0"/>
        <n v="6.0"/>
        <n v="5.0"/>
        <n v="8.0"/>
        <n v="10.0"/>
        <n v="0.0"/>
        <n v="2.0"/>
        <m/>
      </sharedItems>
    </cacheField>
    <cacheField name="Personagens/Personas" numFmtId="0">
      <sharedItems containsString="0" containsBlank="1" containsNumber="1">
        <n v="7.0"/>
        <n v="3.0"/>
        <n v="5.0"/>
        <n v="8.0"/>
        <n v="9.0"/>
        <n v="4.0"/>
        <n v="10.0"/>
        <n v="6.0"/>
        <n v="0.0"/>
        <n v="8.5"/>
        <n v="1.0"/>
        <n v="9.25"/>
        <n v="2.0"/>
        <m/>
      </sharedItems>
    </cacheField>
    <cacheField name="Final/Nota" numFmtId="0">
      <sharedItems containsString="0" containsBlank="1" containsNumber="1">
        <n v="5.0"/>
        <n v="3.0"/>
        <n v="7.0"/>
        <n v="9.0"/>
        <n v="4.0"/>
        <n v="10.0"/>
        <n v="6.0"/>
        <n v="8.0"/>
        <m/>
        <n v="0.0"/>
        <n v="2.0"/>
        <n v="9.25"/>
      </sharedItems>
    </cacheField>
    <cacheField name="Somatório" numFmtId="0">
      <sharedItems containsString="0" containsBlank="1" containsNumber="1">
        <n v="19.0"/>
        <n v="9.0"/>
        <n v="17.0"/>
        <n v="14.0"/>
        <n v="22.0"/>
        <n v="27.0"/>
        <n v="20.0"/>
        <n v="11.0"/>
        <n v="28.0"/>
        <n v="29.0"/>
        <n v="15.0"/>
        <n v="18.0"/>
        <n v="24.0"/>
        <n v="21.0"/>
        <n v="26.0"/>
        <n v="16.0"/>
        <n v="25.0"/>
        <n v="12.0"/>
        <n v="23.0"/>
        <n v="13.0"/>
        <n v="30.0"/>
        <n v="0.0"/>
        <n v="25.5"/>
        <n v="23.5"/>
        <n v="5.0"/>
        <n v="29.25"/>
        <n v="19.25"/>
        <m/>
      </sharedItems>
    </cacheField>
    <cacheField name="Leitura" numFmtId="0">
      <sharedItems containsString="0" containsBlank="1" containsNumber="1" containsInteger="1">
        <n v="1.0"/>
        <n v="2.0"/>
        <m/>
      </sharedItems>
    </cacheField>
    <cacheField name="Páginas" numFmtId="0">
      <sharedItems containsString="0" containsBlank="1" containsNumber="1" containsInteger="1">
        <n v="128.0"/>
        <n v="48.0"/>
        <n v="64.0"/>
        <n v="111.0"/>
        <n v="224.0"/>
        <n v="279.0"/>
        <n v="252.0"/>
        <n v="394.0"/>
        <n v="297.0"/>
        <n v="1202.0"/>
        <n v="584.0"/>
        <n v="125.0"/>
        <n v="438.0"/>
        <n v="152.0"/>
        <n v="194.0"/>
        <n v="309.0"/>
        <n v="384.0"/>
        <n v="518.0"/>
        <n v="379.0"/>
        <n v="704.0"/>
        <n v="198.0"/>
        <n v="232.0"/>
        <n v="320.0"/>
        <n v="127.0"/>
        <n v="91.0"/>
        <n v="190.0"/>
        <n v="132.0"/>
        <n v="281.0"/>
        <n v="156.0"/>
        <n v="219.0"/>
        <n v="67.0"/>
        <n v="52.0"/>
        <n v="110.0"/>
        <n v="88.0"/>
        <n v="112.0"/>
        <n v="175.0"/>
        <n v="262.0"/>
        <n v="284.0"/>
        <n v="298.0"/>
        <n v="314.0"/>
        <n v="326.0"/>
        <n v="80.0"/>
        <n v="472.0"/>
        <n v="432.0"/>
        <n v="512.0"/>
        <n v="753.0"/>
        <n v="292.0"/>
        <n v="444.0"/>
        <n v="887.0"/>
        <n v="321.0"/>
        <n v="336.0"/>
        <n v="464.0"/>
        <n v="448.0"/>
        <n v="592.0"/>
        <n v="696.0"/>
        <n v="368.0"/>
        <n v="388.0"/>
        <n v="226.0"/>
        <n v="216.0"/>
        <n v="445.0"/>
        <n v="365.0"/>
        <n v="352.0"/>
        <n v="894.0"/>
        <n v="149.0"/>
        <n v="567.0"/>
        <n v="366.0"/>
        <n v="160.0"/>
        <n v="272.0"/>
        <n v="461.0"/>
        <n v="470.0"/>
        <n v="53.0"/>
        <n v="367.0"/>
        <n v="328.0"/>
        <n v="392.0"/>
        <n v="221.0"/>
        <n v="223.0"/>
        <n v="256.0"/>
        <n v="106.0"/>
        <n v="210.0"/>
        <n v="265.0"/>
        <n v="560.0"/>
        <n v="312.0"/>
        <n v="656.0"/>
        <n v="362.0"/>
        <n v="400.0"/>
        <n v="340.0"/>
        <n v="172.0"/>
        <n v="496.0"/>
        <n v="120.0"/>
        <n v="273.0"/>
        <n v="884.0"/>
        <n v="304.0"/>
        <n v="586.0"/>
        <n v="12.0"/>
        <n v="378.0"/>
        <n v="335.0"/>
        <n v="257.0"/>
        <n v="227.0"/>
        <n v="170.0"/>
        <n v="941.0"/>
        <n v="546.0"/>
        <n v="532.0"/>
        <n v="287.0"/>
        <n v="644.0"/>
        <n v="504.0"/>
        <n v="872.0"/>
        <n v="316.0"/>
        <n v="344.0"/>
        <n v="296.0"/>
        <n v="234.0"/>
        <n v="544.0"/>
        <n v="347.0"/>
        <n v="301.0"/>
        <n v="288.0"/>
        <n v="176.0"/>
        <n v="364.0"/>
        <n v="354.0"/>
        <n v="350.0"/>
        <n v="105.0"/>
        <n v="208.0"/>
        <n v="200.0"/>
        <n v="28.0"/>
        <n v="576.0"/>
        <n v="440.0"/>
        <n v="377.0"/>
        <n v="240.0"/>
        <n v="246.0"/>
        <n v="280.0"/>
        <n v="390.0"/>
        <n v="736.0"/>
        <n v="480.0"/>
        <n v="126.0"/>
        <n v="380.0"/>
        <n v="412.0"/>
        <n v="528.0"/>
        <n v="315.0"/>
        <n v="317.0"/>
        <n v="248.0"/>
        <n v="491.0"/>
        <n v="376.0"/>
        <n v="222.0"/>
        <n v="789.0"/>
        <n v="124.0"/>
        <n v="79.0"/>
        <n v="96.0"/>
        <n v="327.0"/>
        <n v="960.0"/>
        <n v="398.0"/>
        <n v="596.0"/>
        <n v="334.0"/>
        <n v="382.0"/>
        <n v="161.0"/>
        <n v="191.0"/>
        <n v="408.0"/>
        <n v="159.0"/>
        <n v="192.0"/>
        <n v="416.0"/>
        <n v="269.0"/>
        <n v="199.0"/>
        <n v="349.0"/>
        <n v="142.0"/>
        <n v="179.0"/>
        <n v="245.0"/>
        <n v="351.0"/>
        <n v="205.0"/>
        <n v="239.0"/>
        <n v="395.0"/>
        <n v="143.0"/>
        <n v="93.0"/>
        <n v="255.0"/>
        <n v="415.0"/>
        <n v="348.0"/>
        <n v="69.0"/>
        <n v="446.0"/>
        <n v="318.0"/>
        <n v="417.0"/>
        <n v="267.0"/>
        <n v="319.0"/>
        <n v="188.0"/>
        <n v="253.0"/>
        <n v="381.0"/>
        <n v="399.0"/>
        <n v="341.0"/>
        <n v="389.0"/>
        <n v="153.0"/>
        <n v="286.0"/>
        <n v="141.0"/>
        <n v="157.0"/>
        <n v="263.0"/>
        <n v="189.0"/>
        <n v="283.0"/>
        <n v="137.0"/>
        <n v="151.0"/>
        <n v="495.0"/>
        <n v="218.0"/>
        <n v="306.0"/>
        <n v="302.0"/>
        <n v="397.0"/>
        <n v="231.0"/>
        <n v="589.0"/>
        <n v="548.0"/>
        <n v="182.0"/>
        <n v="271.0"/>
        <n v="71.0"/>
        <n v="237.0"/>
        <n v="213.0"/>
        <n v="32.0"/>
        <n v="185.0"/>
        <n v="46.0"/>
        <n v="537.0"/>
        <n v="25.0"/>
        <n v="10.0"/>
        <n v="44.0"/>
        <n v="98.0"/>
        <n v="165.0"/>
        <n v="107.0"/>
        <n v="41.0"/>
        <n v="413.0"/>
        <n v="186.0"/>
        <n v="144.0"/>
        <n v="109.0"/>
        <n v="509.0"/>
        <n v="18.0"/>
        <n v="254.0"/>
        <n v="16.0"/>
        <n v="396.0"/>
        <n v="217.0"/>
        <n v="15.0"/>
        <n v="135.0"/>
        <n v="102.0"/>
        <n v="47.0"/>
        <n v="99.0"/>
        <n v="38.0"/>
        <n v="40.0"/>
        <n v="358.0"/>
        <n v="174.0"/>
        <n v="154.0"/>
        <n v="443.0"/>
        <n v="155.0"/>
        <n v="173.0"/>
        <n v="300.0"/>
        <n v="329.0"/>
        <n v="60.0"/>
        <n v="410.0"/>
        <n v="33.0"/>
        <m/>
      </sharedItems>
    </cacheField>
    <cacheField name="Página_Total" numFmtId="0">
      <sharedItems containsString="0" containsBlank="1" containsNumber="1" containsInteger="1">
        <n v="128.0"/>
        <n v="48.0"/>
        <n v="64.0"/>
        <n v="111.0"/>
        <n v="224.0"/>
        <n v="448.0"/>
        <n v="279.0"/>
        <n v="504.0"/>
        <n v="788.0"/>
        <n v="297.0"/>
        <n v="1202.0"/>
        <n v="1168.0"/>
        <n v="125.0"/>
        <n v="438.0"/>
        <n v="152.0"/>
        <n v="194.0"/>
        <n v="309.0"/>
        <n v="384.0"/>
        <n v="518.0"/>
        <n v="379.0"/>
        <n v="1408.0"/>
        <n v="198.0"/>
        <n v="232.0"/>
        <n v="320.0"/>
        <n v="127.0"/>
        <n v="91.0"/>
        <n v="190.0"/>
        <n v="132.0"/>
        <n v="281.0"/>
        <n v="156.0"/>
        <n v="219.0"/>
        <n v="67.0"/>
        <n v="52.0"/>
        <n v="110.0"/>
        <n v="88.0"/>
        <n v="112.0"/>
        <n v="175.0"/>
        <n v="262.0"/>
        <n v="284.0"/>
        <n v="298.0"/>
        <n v="314.0"/>
        <n v="326.0"/>
        <n v="80.0"/>
        <n v="472.0"/>
        <n v="432.0"/>
        <n v="512.0"/>
        <n v="753.0"/>
        <n v="292.0"/>
        <n v="444.0"/>
        <n v="887.0"/>
        <n v="321.0"/>
        <n v="336.0"/>
        <n v="464.0"/>
        <n v="592.0"/>
        <n v="696.0"/>
        <n v="368.0"/>
        <n v="388.0"/>
        <n v="226.0"/>
        <n v="216.0"/>
        <n v="445.0"/>
        <n v="365.0"/>
        <n v="352.0"/>
        <n v="894.0"/>
        <n v="149.0"/>
        <n v="567.0"/>
        <n v="366.0"/>
        <n v="160.0"/>
        <n v="272.0"/>
        <n v="461.0"/>
        <n v="470.0"/>
        <n v="53.0"/>
        <n v="367.0"/>
        <n v="328.0"/>
        <n v="392.0"/>
        <n v="221.0"/>
        <n v="223.0"/>
        <n v="256.0"/>
        <n v="106.0"/>
        <n v="210.0"/>
        <n v="265.0"/>
        <n v="560.0"/>
        <n v="312.0"/>
        <n v="656.0"/>
        <n v="362.0"/>
        <n v="400.0"/>
        <n v="340.0"/>
        <n v="172.0"/>
        <n v="496.0"/>
        <n v="120.0"/>
        <n v="273.0"/>
        <n v="884.0"/>
        <n v="304.0"/>
        <n v="586.0"/>
        <n v="12.0"/>
        <n v="378.0"/>
        <n v="335.0"/>
        <n v="257.0"/>
        <n v="227.0"/>
        <n v="170.0"/>
        <n v="941.0"/>
        <n v="546.0"/>
        <n v="532.0"/>
        <n v="287.0"/>
        <n v="644.0"/>
        <n v="872.0"/>
        <n v="316.0"/>
        <n v="344.0"/>
        <n v="296.0"/>
        <n v="234.0"/>
        <n v="544.0"/>
        <n v="347.0"/>
        <n v="301.0"/>
        <n v="288.0"/>
        <n v="176.0"/>
        <n v="364.0"/>
        <n v="354.0"/>
        <n v="350.0"/>
        <n v="105.0"/>
        <n v="208.0"/>
        <n v="200.0"/>
        <n v="28.0"/>
        <n v="576.0"/>
        <n v="440.0"/>
        <n v="377.0"/>
        <n v="240.0"/>
        <n v="246.0"/>
        <n v="280.0"/>
        <n v="390.0"/>
        <n v="736.0"/>
        <n v="480.0"/>
        <n v="126.0"/>
        <n v="380.0"/>
        <n v="412.0"/>
        <n v="528.0"/>
        <n v="315.0"/>
        <n v="317.0"/>
        <n v="248.0"/>
        <n v="491.0"/>
        <n v="206.0"/>
        <n v="376.0"/>
        <n v="222.0"/>
        <n v="789.0"/>
        <n v="124.0"/>
        <n v="79.0"/>
        <n v="96.0"/>
        <n v="327.0"/>
        <n v="960.0"/>
        <n v="398.0"/>
        <n v="596.0"/>
        <n v="334.0"/>
        <n v="382.0"/>
        <n v="161.0"/>
        <n v="191.0"/>
        <n v="408.0"/>
        <n v="159.0"/>
        <n v="192.0"/>
        <n v="416.0"/>
        <n v="269.0"/>
        <n v="199.0"/>
        <n v="349.0"/>
        <n v="142.0"/>
        <n v="179.0"/>
        <n v="245.0"/>
        <n v="351.0"/>
        <n v="205.0"/>
        <n v="239.0"/>
        <n v="395.0"/>
        <n v="143.0"/>
        <n v="93.0"/>
        <n v="255.0"/>
        <n v="415.0"/>
        <n v="348.0"/>
        <n v="69.0"/>
        <n v="446.0"/>
        <n v="318.0"/>
        <n v="417.0"/>
        <n v="267.0"/>
        <n v="319.0"/>
        <n v="188.0"/>
        <n v="253.0"/>
        <n v="381.0"/>
        <n v="399.0"/>
        <n v="341.0"/>
        <n v="389.0"/>
        <n v="153.0"/>
        <n v="286.0"/>
        <n v="141.0"/>
        <n v="157.0"/>
        <n v="394.0"/>
        <n v="263.0"/>
        <n v="189.0"/>
        <n v="283.0"/>
        <n v="137.0"/>
        <n v="151.0"/>
        <n v="495.0"/>
        <n v="218.0"/>
        <n v="306.0"/>
        <n v="302.0"/>
        <n v="397.0"/>
        <n v="231.0"/>
        <n v="589.0"/>
        <n v="548.0"/>
        <n v="182.0"/>
        <n v="271.0"/>
        <n v="71.0"/>
        <n v="237.0"/>
        <n v="213.0"/>
        <n v="32.0"/>
        <n v="185.0"/>
        <n v="46.0"/>
        <n v="537.0"/>
        <n v="25.0"/>
        <n v="10.0"/>
        <n v="44.0"/>
        <n v="98.0"/>
        <n v="165.0"/>
        <n v="107.0"/>
        <n v="252.0"/>
        <n v="41.0"/>
        <n v="413.0"/>
        <n v="186.0"/>
        <n v="144.0"/>
        <n v="109.0"/>
        <n v="509.0"/>
        <n v="18.0"/>
        <n v="254.0"/>
        <n v="16.0"/>
        <n v="396.0"/>
        <n v="20.0"/>
        <n v="217.0"/>
        <n v="15.0"/>
        <n v="135.0"/>
        <n v="102.0"/>
        <n v="47.0"/>
        <n v="99.0"/>
        <n v="38.0"/>
        <n v="40.0"/>
        <n v="358.0"/>
        <n v="174.0"/>
        <n v="443.0"/>
        <n v="155.0"/>
        <n v="173.0"/>
        <n v="300.0"/>
        <n v="329.0"/>
        <n v="60.0"/>
        <n v="410.0"/>
        <n v="33.0"/>
        <m/>
      </sharedItems>
    </cacheField>
    <cacheField name="Pontos" numFmtId="0">
      <sharedItems containsString="0" containsBlank="1" containsNumber="1">
        <n v="0.9578125"/>
        <n v="0.47083333333333327"/>
        <n v="0.46562499999999996"/>
        <n v="0.8578125"/>
        <n v="0.709009009009009"/>
        <n v="1.104464285714286"/>
        <n v="1.354464285714286"/>
        <n v="1.0022321428571428"/>
        <n v="0.5535842293906811"/>
        <n v="1.001984126984127"/>
        <n v="1.101269035532995"/>
        <n v="1.4033670033670034"/>
        <n v="1.4508319467554076"/>
        <n v="1.1008561643835617"/>
        <n v="0.758"/>
        <n v="0.9022831050228309"/>
        <n v="1.106578947368421"/>
        <n v="1.0051546391752577"/>
        <n v="1.2032362459546928"/>
        <n v="0.7026041666666666"/>
        <n v="1.3519305019305021"/>
        <n v="0.9026385224274406"/>
        <n v="1.1007102272727274"/>
        <n v="1.2050505050505051"/>
        <n v="0.9043103448275861"/>
        <n v="1.0565789473684208"/>
        <n v="1.2031250000000002"/>
        <n v="1.2078740157480317"/>
        <n v="1.110989010989011"/>
        <n v="1.0552631578947367"/>
        <n v="0.9575757575757575"/>
        <n v="1.2035587188612102"/>
        <n v="1.3078125"/>
        <n v="0.9064102564102563"/>
        <n v="1.0545662100456619"/>
        <n v="1.2149253731343286"/>
        <n v="0.9192307692307692"/>
        <n v="1.0590909090909089"/>
        <n v="1.0113636363636362"/>
        <n v="0.9089285714285713"/>
        <n v="0.9052631578947368"/>
        <n v="0.8057142857142857"/>
        <n v="0.9038167938931296"/>
        <n v="0.9035211267605633"/>
        <n v="0.9033557046979865"/>
        <n v="0.7531847133757962"/>
        <n v="0.7030674846625766"/>
        <n v="0.9124999999999999"/>
        <n v="0.9021186440677965"/>
        <n v="0.9523148148148147"/>
        <n v="1.0519531249999998"/>
        <n v="1.25132802124834"/>
        <n v="1.0534246575342463"/>
        <n v="1.2022522522522525"/>
        <n v="1.2011273957158966"/>
        <n v="1.1031152647975078"/>
        <n v="0.7529761904761905"/>
        <n v="0.9021551724137931"/>
        <n v="0.7522321428571429"/>
        <n v="0.9516891891891891"/>
        <n v="0.7514367816091954"/>
        <n v="1.352717391304348"/>
        <n v="1.352577319587629"/>
        <n v="0.9044247787610619"/>
        <n v="0.9046296296296296"/>
        <n v="1.2022471910112362"/>
        <n v="0.9027397260273972"/>
        <n v="0.902840909090909"/>
        <n v="0.9011185682326621"/>
        <n v="0.9067114093959731"/>
        <n v="1.1033557046979867"/>
        <n v="0.6023148148148149"/>
        <n v="0.6021551724137932"/>
        <n v="0.6017636684303351"/>
        <n v="0.8527322404371586"/>
        <n v="0.9562499999999999"/>
        <n v="0.9536764705882352"/>
        <n v="1.1021691973969632"/>
        <n v="1.2021276595744683"/>
        <n v="0.7688679245283019"/>
        <n v="0.9027247956403269"/>
        <n v="1.0030487804878048"/>
        <n v="1.0525510204081632"/>
        <n v="1.004524886877828"/>
        <n v="0.9544843049327354"/>
        <n v="0.95390625"/>
        <n v="0.9543103448275861"/>
        <n v="0.9594339622641509"/>
        <n v="0.9526041666666666"/>
        <n v="0.9547619047619047"/>
        <n v="0.7537735849056604"/>
        <n v="1.1516891891891892"/>
        <n v="1.102314814814815"/>
        <n v="1.051785714285714"/>
        <n v="1.3532051282051283"/>
        <n v="1.3516891891891893"/>
        <n v="1.0023148148148147"/>
        <n v="1.2515243902439024"/>
        <n v="0.8527624309392265"/>
        <n v="0.8025"/>
        <n v="1.3029411764705883"/>
        <n v="1.2058139534883723"/>
        <n v="0.902016129032258"/>
        <n v="0.9583333333333333"/>
        <n v="0.9036630036630036"/>
        <n v="1.1536764705882352"/>
        <n v="1.251131221719457"/>
        <n v="0.9532894736842105"/>
        <n v="0.9017064846416382"/>
        <n v="1.0833333333333333"/>
        <n v="1.0029761904761905"/>
        <n v="0.7526455026455027"/>
        <n v="0.7529850746268657"/>
        <n v="0.7538910505836576"/>
        <n v="1.0544052863436122"/>
        <n v="0.9058823529411764"/>
        <n v="1.1010626992561106"/>
        <n v="1.201831501831502"/>
        <n v="1.2019305019305022"/>
        <n v="1.1018796992481203"/>
        <n v="0.9034843205574912"/>
        <n v="1.0515527950310557"/>
        <n v="0.9019841269841269"/>
        <n v="1.1011467889908257"/>
        <n v="1.0031645569620253"/>
        <n v="0.952906976744186"/>
        <n v="0.9062499999999999"/>
        <n v="0.7533783783783784"/>
        <n v="0.7542735042735043"/>
        <n v="1.201838235294118"/>
        <n v="1.3025"/>
        <n v="1.1036764705882354"/>
        <n v="1.1028818443804036"/>
        <n v="1.1033222591362126"/>
        <n v="1.0534722222222221"/>
        <n v="0.9056818181818181"/>
        <n v="1.202747252747253"/>
        <n v="1.2025510204081635"/>
        <n v="1.2028248587570622"/>
        <n v="1.1528571428571428"/>
        <n v="1.1026455026455027"/>
        <n v="0.7095238095238094"/>
        <n v="1.0548076923076921"/>
        <n v="1.005"/>
        <n v="0.7357142857142857"/>
        <n v="1.070833333333333"/>
        <n v="1.2526041666666667"/>
        <n v="1.1026041666666668"/>
        <n v="1.0529761904761903"/>
        <n v="1.0044642857142856"/>
        <n v="0.9036764705882352"/>
        <n v="1.1017361111111112"/>
        <n v="1.0029069767441858"/>
        <n v="0.6522727272727273"/>
        <n v="1.152016129032258"/>
        <n v="1.152652519893899"/>
        <n v="0.9548076923076922"/>
        <n v="0.9529761904761904"/>
        <n v="1.0541666666666665"/>
        <n v="1.0520161290322578"/>
        <n v="1.0540650406504064"/>
        <n v="1.1535714285714285"/>
        <n v="0.9525641025641025"/>
        <n v="1.104424778761062"/>
        <n v="1.10390625"/>
        <n v="0.9544642857142857"/>
        <n v="1.0013586956521738"/>
        <n v="1.253125"/>
        <n v="1.0515243902439024"/>
        <n v="1.0032894736842104"/>
        <n v="1.053125"/>
        <n v="0.7035714285714285"/>
        <n v="1.1029761904761906"/>
        <n v="1.0539062499999998"/>
        <n v="0.9520833333333333"/>
        <n v="0.8034722222222223"/>
        <n v="0.7579365079365079"/>
        <n v="0.9526315789473684"/>
        <n v="1.3029761904761905"/>
        <n v="1.2025"/>
        <n v="1.1025510204081634"/>
        <n v="1.0048076923076923"/>
        <n v="1.2541666666666667"/>
        <n v="1.1548076923076922"/>
        <n v="0.9556818181818182"/>
        <n v="1.0544642857142859"/>
        <n v="1.0041666666666667"/>
        <n v="1.1048076923076924"/>
        <n v="0.8023148148148148"/>
        <n v="1.0536764705882353"/>
        <n v="0.805"/>
        <n v="1.0027173913043477"/>
        <n v="1.0056818181818181"/>
        <n v="1.0024271844660193"/>
        <n v="1.0018939393939394"/>
        <n v="1.2531746031746032"/>
        <n v="1.0034722222222223"/>
        <n v="1.0025"/>
        <n v="0.9527322404371584"/>
        <n v="0.6532894736842105"/>
        <n v="0.9534722222222222"/>
        <n v="0.953154574132492"/>
        <n v="1.004032258064516"/>
        <n v="1.0520366598778002"/>
        <n v="1.1533783783783782"/>
        <n v="1.0548543689320387"/>
        <n v="0.952659574468085"/>
        <n v="1.0545045045045043"/>
        <n v="1.0012674271229405"/>
        <n v="1.1522321428571427"/>
        <n v="1.204464285714286"/>
        <n v="1.207936507936508"/>
        <n v="1.2080645161290324"/>
        <n v="1.3562500000000002"/>
        <n v="1.2126582278481013"/>
        <n v="1.0604166666666666"/>
        <n v="1.3030581039755351"/>
        <n v="1.2034722222222225"/>
        <n v="1.3531250000000001"/>
        <n v="1.1057142857142859"/>
        <n v="1.1525510204081633"/>
        <n v="1.3543103448275864"/>
        <n v="1.3062500000000001"/>
        <n v="1.3510416666666667"/>
        <n v="1.1025125628140704"/>
        <n v="1.2516778523489933"/>
        <n v="1.0044642857142858"/>
        <n v="1.0028409090909092"/>
        <n v="1.055681818181818"/>
        <n v="1.3020833333333335"/>
        <n v="1.2032894736842108"/>
        <n v="1.0529940119760477"/>
        <n v="1.1526178010471204"/>
        <n v="1.1062111801242236"/>
        <n v="1.1052356020942409"/>
        <n v="0.9524509803921568"/>
        <n v="1.102717391304348"/>
        <n v="1.0522471910112359"/>
        <n v="1.1527173913043478"/>
        <n v="1.3044843049327355"/>
        <n v="1.1033783783783784"/>
        <n v="0.9533222591362126"/>
        <n v="1.2028409090909093"/>
        <n v="1.2062893081761008"/>
        <n v="1.1080645161290323"/>
        <n v="1.1534722222222222"/>
        <n v="1.3552083333333333"/>
        <n v="1.1524038461538462"/>
        <n v="0.9537174721189591"/>
        <n v="1.1550251256281405"/>
        <n v="1.1031250000000001"/>
        <n v="1.1528653295128939"/>
        <n v="1.0570422535211266"/>
        <n v="1.105586592178771"/>
        <n v="1.102857142857143"/>
        <n v="0.9533783783783784"/>
        <n v="1.1540816326530612"/>
        <n v="1.1528490028490028"/>
        <n v="1.204878048780488"/>
        <n v="1.10418410041841"/>
        <n v="0.953584229390681"/>
        <n v="1.1025316455696204"/>
        <n v="1.2045248868778282"/>
        <n v="1.056993006993007"/>
        <n v="1.1035211267605636"/>
        <n v="1.210752688172043"/>
        <n v="0.9057142857142856"/>
        <n v="1.103921568627451"/>
        <n v="1.0524096385542168"/>
        <n v="1.3035211267605635"/>
        <n v="1.052849002849003"/>
        <n v="1.2528735632183907"/>
        <n v="0.7144927536231883"/>
        <n v="1.0528818443804033"/>
        <n v="1.2548780487804878"/>
        <n v="1.3022421524663677"/>
        <n v="1.1031446540880505"/>
        <n v="1.2031645569620255"/>
        <n v="1.2552631578947369"/>
        <n v="1.0031446540880504"/>
        <n v="1.2050251256281408"/>
        <n v="1.1023980815347723"/>
        <n v="1.256993006993007"/>
        <n v="1.3527397260273974"/>
        <n v="0.9031446540880503"/>
        <n v="1.1537453183520598"/>
        <n v="1.0033222591362125"/>
        <n v="1.2531347962382444"/>
        <n v="1.3031347962382445"/>
        <n v="1.1053191489361702"/>
        <n v="1.2039525691699606"/>
        <n v="1.1526246719160105"/>
        <n v="1.3034843205574913"/>
        <n v="1.1525062656641603"/>
        <n v="1.2029325513196483"/>
        <n v="1.002865329512894"/>
        <n v="1.2031347962382446"/>
        <n v="1.1031545741324922"/>
        <n v="1.205714285714286"/>
        <n v="1.0525706940874033"/>
        <n v="1.2565359477124183"/>
        <n v="1.1034965034965036"/>
        <n v="1.2028818443804037"/>
        <n v="1.2037453183520601"/>
        <n v="1.3031545741324921"/>
        <n v="1.0027322404371584"/>
        <n v="1.2045662100456622"/>
        <n v="1.002849002849003"/>
        <n v="1.2529850746268656"/>
        <n v="1.1070921985815603"/>
        <n v="1.1063694267515924"/>
        <n v="1.0528490028490027"/>
        <n v="1.1525380710659898"/>
        <n v="1.2038022813688214"/>
        <n v="0.9526178010471203"/>
        <n v="1.3052910052910054"/>
        <n v="1.0526041666666666"/>
        <n v="1.2035335689045938"/>
        <n v="1.107299270072993"/>
        <n v="0.8033222591362127"/>
        <n v="1.1566225165562913"/>
        <n v="1.0557142857142856"/>
        <n v="1.252020202020202"/>
        <n v="1.15709219858156"/>
        <n v="1.204587155963303"/>
        <n v="1.2532679738562091"/>
        <n v="1.158"/>
        <n v="0.8533112582781458"/>
        <n v="1.0025188916876575"/>
        <n v="1.1543290043290042"/>
        <n v="1.0036764705882353"/>
        <n v="1.3525316455696204"/>
        <n v="0.9528571428571428"/>
        <n v="1.255050505050505"/>
        <n v="1.0531347962382442"/>
        <n v="0.9545045045045044"/>
        <n v="1.1516977928692698"/>
        <n v="1.1018248175182483"/>
        <n v="1.1554945054945054"/>
        <n v="1.25374531835206"/>
        <n v="1.253690036900369"/>
        <n v="1.002857142857143"/>
        <n v="1.0029850746268656"/>
        <n v="1.1640845070422534"/>
        <n v="1.2042194092827005"/>
        <n v="1.1546948356807512"/>
        <n v="1.43125"/>
        <n v="1.2054054054054055"/>
        <n v="1.4717391304347827"/>
        <n v="1.2518621973929236"/>
        <n v="1.00625"/>
        <n v="1.3900000000000001"/>
        <n v="1.38125"/>
        <n v="1.108"/>
        <n v="1.5040816326530613"/>
        <n v="1.15"/>
        <n v="1.5227272727272727"/>
        <n v="1.3054945054945055"/>
        <n v="1.110204081632653"/>
        <n v="1.2028571428571428"/>
        <n v="1.2557142857142858"/>
        <n v="0.01098901098901099"/>
        <n v="1.256060606060606"/>
        <n v="1.2093457943925234"/>
        <n v="1.053968253968254"/>
        <n v="1.503968253968254"/>
        <n v="1.1026246719160107"/>
        <n v="1.502865329512894"/>
        <n v="1.3052356020942408"/>
        <n v="1.324390243902439"/>
        <n v="1.1024213075060534"/>
        <n v="1.5053763440860215"/>
        <n v="1.1531645569620252"/>
        <n v="1.207042253521127"/>
        <n v="1.5069444444444444"/>
        <n v="1.2591743119266054"/>
        <n v="1.5054054054054054"/>
        <n v="1.0019646365422397"/>
        <n v="1.3055555555555556"/>
        <n v="1.1555555555555557"/>
        <n v="1.3305555555555555"/>
        <n v="1.2305555555555554"/>
        <n v="1.4555555555555555"/>
        <n v="1.2531446540880504"/>
        <n v="1.303921568627451"/>
        <n v="1.2542194092827004"/>
        <n v="1.3039370078740158"/>
        <n v="0.8333333333333334"/>
        <n v="0.9125"/>
        <n v="1.1525252525252525"/>
        <n v="0.8625"/>
        <n v="1.253584229390681"/>
        <n v="1.5149253731343284"/>
        <n v="1.35"/>
        <n v="1.103690036900369"/>
        <n v="1.4046082949308756"/>
        <n v="1.4666666666666666"/>
        <n v="1.1074074074074074"/>
        <n v="1.2598039215686274"/>
        <n v="1.221276595744681"/>
        <n v="0.2601010101010101"/>
        <n v="1.5263157894736843"/>
        <n v="1.4842391304347826"/>
        <n v="0.021739130434782608"/>
        <n v="0.9875"/>
        <n v="1.1527932960893854"/>
        <n v="1.5057471264367817"/>
        <n v="1.5048543689320388"/>
        <n v="1.3026315789473684"/>
        <n v="1.2045045045045046"/>
        <n v="1.3060606060606061"/>
        <n v="1.252257336343115"/>
        <n v="1.3064516129032258"/>
        <n v="1.2557803468208093"/>
        <n v="1.2533333333333334"/>
        <n v="1.2030395136778118"/>
        <n v="1.2570422535211268"/>
        <n v="0.26666666666666666"/>
        <n v="0.85"/>
        <n v="0.852439024390244"/>
        <n v="1.2303030303030302"/>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P500" sheet="Planilha1"/>
  </cacheSource>
  <cacheFields>
    <cacheField name="Autor" numFmtId="0">
      <sharedItems containsBlank="1">
        <s v="Maria José Dupré"/>
        <s v="Ziraldo"/>
        <s v="Ruth Rocha &amp; Adalberto Cornavaca"/>
        <s v="Marcos Rey"/>
        <s v="Luiz Puntel"/>
        <s v="J. K. Rowling"/>
        <s v="Valeria Piassa Polizzi"/>
        <s v="J. R. R. Tolkien"/>
        <s v="Ivan Jaf"/>
        <s v="Gonçalves de Magalhães"/>
        <s v="Camilo Castelo Branco"/>
        <s v="Aluísio Azevedo"/>
        <s v="Anne Rice"/>
        <s v="Marion Zimmer Bradley"/>
        <s v="Umberto Eco"/>
        <s v="André Vinco"/>
        <s v="Joaquim Manuel de Macedo"/>
        <s v="Ávares de Azevedo"/>
        <s v="José de Alencar"/>
        <s v="Bernardo Gumarães"/>
        <s v="Machado de Assis"/>
        <s v="Carlos Drummond de Andrade"/>
        <s v="Graciliano Ramos"/>
        <s v="Nelson Rodrigues"/>
        <s v="João Guimarães Rosa"/>
        <s v="Rubem Fonseca"/>
        <s v="Clarice Linspector"/>
        <s v="João Cabral de Melo Neto"/>
        <s v="Tomaz Antônio Gonzaga"/>
        <s v="Mário de Andrade"/>
        <s v="Luis Fernando Veríssimo"/>
        <s v="Christian Jacq"/>
        <s v="Dan Brown"/>
        <s v="C. S. Lewis"/>
        <s v="Dee Brown"/>
        <s v="Bernard Cornwell"/>
        <s v="Eiji Yoshikawa"/>
        <s v="William Peter Blatty"/>
        <s v="Walter Isaacson"/>
        <s v="Fiódor Dostoiévisk"/>
        <s v="Jean-Paul Sartre"/>
        <s v="Vinicius Bittencourt"/>
        <s v="José Saramago"/>
        <s v="Khaled Hosseini"/>
        <s v="John Sack"/>
        <s v="Thomas Harris"/>
        <s v="Dante Alighieri"/>
        <s v="Nicolau Maquiavel"/>
        <s v="Terry Pratchett"/>
        <s v="Stephenie Meyer"/>
        <s v="Gustace Flaubert"/>
        <s v="Augusto Cury"/>
        <s v="Felipe Aquino (Prof.)"/>
        <s v="Mario Puzo"/>
        <s v="J. R. R. Tolkien &amp; Christopher Tolkien"/>
        <s v="Fernando Sabino"/>
        <s v="Scott Smith"/>
        <s v="Paul Hoffman"/>
        <s v="Nelson Motta"/>
        <s v="Mary Shelley"/>
        <s v="Franklin Foer"/>
        <s v="Robert B. Haas"/>
        <s v="João Steiner"/>
        <s v="Laurentino Gomes"/>
        <s v="Ana Beatriz Barbosa Silva"/>
        <s v="Sidney Sheldon"/>
        <s v="Gabriel García Márquez"/>
        <s v="Jostein Gaarder"/>
        <s v="George R. R. Martin"/>
        <s v="Rick Riordan"/>
        <s v="Monty Roberts"/>
        <s v="Marcelo Rossi (Padre)"/>
        <s v="Everard M. Upjohn, Paul S. Wingert, Jane Gaston Mahler"/>
        <s v="Oscar Wilde"/>
        <s v="Eduardo Spohr"/>
        <s v="Izaias Gomes de Assis"/>
        <s v="Angus Donald"/>
        <s v="Oliver Bowden"/>
        <s v="Erich von Däniken"/>
        <s v="Aurélio M. G. de Abreu"/>
        <s v="Friedrich Schiller"/>
        <s v="Thomas Mann"/>
        <s v="Ken Follett"/>
        <s v="Huberto Rohden"/>
        <s v="Paulo César Araújo"/>
        <s v="Leandro Narloch"/>
        <s v="Thomas Bulfinch"/>
        <s v="Peter Clines"/>
        <s v="Douglas Adams"/>
        <s v="Nikolaj Frobenius"/>
        <s v="Kurt Seligmann"/>
        <s v="Stendhal"/>
        <s v="Joseph Conrad"/>
        <s v="Roddy Doyle"/>
        <s v="Rosa Monteiro"/>
        <s v="Angelo Miranda"/>
        <s v="Raymond Flood e Robin Wilson"/>
        <s v="Ian McEwan"/>
        <s v="Maek Twain"/>
        <s v="Nicolai Gógol"/>
        <s v="Nikos Kazantzáskis"/>
        <s v="Giuseppe Tomasi di Lampedusa"/>
        <s v="E. L. Doctorow"/>
        <s v="Angela Carter"/>
        <s v="Carlos Heitor Cony"/>
        <s v="Neil Gaiman"/>
        <s v="Jhumpa Lahiri"/>
        <s v="David Gibbins"/>
        <s v="Scott Lynch"/>
        <s v="Da Chen"/>
        <s v="Emmanuel Carrère"/>
        <s v="Patrick de Witt"/>
        <s v="Ransom Riggs"/>
        <s v="Buchi Emecheta"/>
        <s v="Vários Autores"/>
        <s v="Chimamanda Ngozi Adichie"/>
        <s v="Junichiro Tanizaki"/>
        <s v="Carmen Laforet"/>
        <s v="Evelyn Waugh"/>
        <s v="Friedrich Dürrenmatt"/>
        <s v="Mercè Rodoreda"/>
        <s v="Rachael de Queiroz"/>
        <s v="Thomas Pynchon"/>
        <s v="Svetlana Aleksiévitch"/>
        <s v="Chuck Palahniuk"/>
        <s v="Patrick Rothfuss"/>
        <s v="Patti Smith"/>
        <s v="Colson Whitehead"/>
        <s v="Bahiyyih Nakhjavani"/>
        <s v="Ayòbámi Adébáyò"/>
        <s v="Karin Slaughter"/>
        <s v="Tarryn Fisher"/>
        <s v="Cynthia Swanson"/>
        <s v="John Gray"/>
        <s v="Maya Angelou"/>
        <s v="Thomas Hardy"/>
        <s v="Carson McCullers"/>
        <s v="Dino Buzzati"/>
        <s v="Chinua Achebe"/>
        <s v="Adolfo Bioy Casares"/>
        <s v="Tayeb Salih"/>
        <s v="Toni Morrison"/>
        <s v="Mario Benedetti"/>
        <s v="Harlan Coben"/>
        <s v="Javier Cercas"/>
        <s v="Julian Barnes"/>
        <s v="Carol Bensimon"/>
        <s v="Jane Harper"/>
        <s v="Donatella di Pletrantonio"/>
        <s v="Taylor Jenkins Reid"/>
        <s v="Kate Quinn"/>
        <s v="Mariana Leky"/>
        <s v="Karen Dionne"/>
        <s v="Michael Connelly"/>
        <s v="Tayari Jones"/>
        <s v="Silas House"/>
        <s v="Maggie O'Farrell"/>
        <s v="You Jeong Jeong"/>
        <s v="Amita Trasi"/>
        <s v="Marie Benedict"/>
        <s v="José Luís Peixoto"/>
        <s v="Seni Gleister"/>
        <s v="Jared Diamond"/>
        <s v="Marcelo Rubens Paiva"/>
        <s v="Ann Napolitano"/>
        <s v="Alfred W. Crosby"/>
        <s v="Guillaume Musso"/>
        <s v="David Quammen"/>
        <s v="Gustavo Malajovich"/>
        <s v="Antonio Skármata"/>
        <s v="William Shakespeare"/>
        <s v="Jane Austen"/>
        <s v="Lewis Caroll"/>
        <s v="Friedrich Nietzsche"/>
        <s v="Natalia Ginzburg"/>
        <s v="Flannery O’Connor"/>
        <s v="Alice Walker"/>
        <s v="Stefan Zweig"/>
        <s v="Michael Cunningham"/>
        <s v="Haruki Murakami"/>
        <s v="Antonio Tabucchi"/>
        <s v="Tauyese Selasi"/>
        <s v="Trevor Noah"/>
        <s v="Bem Lerner"/>
        <s v="Balli Kaur Jaswal"/>
        <s v="Léonor de Récondo"/>
        <s v="Stuart Torton"/>
        <s v="John Boyne"/>
        <s v="Mary Lynn Bracht"/>
        <s v="Adrienne Benson"/>
        <s v="Karen Thompson Walker"/>
        <s v="Samantha Dowing"/>
        <s v="Joe Hill"/>
        <s v="Ricardo Viel"/>
        <s v="Arthur Conan Doyle"/>
        <s v="Neil Young"/>
        <s v="Sefi Atta"/>
        <s v="John Grisham"/>
        <s v="Joyce Carol Oates"/>
        <s v="Zeyn Joukhadar"/>
        <s v="Alain Mabanckou"/>
        <s v="Orhan Pamuk"/>
        <s v="Caroline Bernard"/>
        <s v="Liz Moore"/>
        <s v="F. Scott Fitzgerald"/>
        <s v="Lily Brooks-Dalton"/>
        <s v="Penny Hancock"/>
        <s v="H.P. Lovecraft"/>
        <s v="Philip Roth"/>
        <s v="Fernando Scheller"/>
        <s v="Abi Daré"/>
        <s v="Marilia Arnaud"/>
        <s v="Emma Straub"/>
        <s v="Mia Couto"/>
        <s v="Matt Haig"/>
        <s v="Ngũgĩ wa Thiong’o"/>
        <s v="Marianne Cronin"/>
        <s v="Paula Hawkins"/>
        <s v="Marta Orriols"/>
        <s v="Ulisses Campbell"/>
        <s v="Casey McQuiston"/>
        <s v="Edwidge Danticat"/>
        <s v="Nadifa Mohamed"/>
        <s v="Robertson Frizero"/>
        <s v="Virgnia Woolf"/>
        <s v="Kevin Wilson"/>
        <s v="Nick Hornby"/>
        <s v="Klese Laymon"/>
        <s v="Alka Joshi"/>
        <s v="Amin Malouf"/>
        <s v="Débora Thomé"/>
        <s v="Hazel Priot"/>
        <s v="Camila Sosa Villada"/>
        <s v="Sue Monk Kidd"/>
        <s v="Thomas King"/>
        <s v="Stefano Volp"/>
        <s v="Brenda Navarro"/>
        <s v="Sarah Penner"/>
        <s v="B. Kucinski"/>
        <s v="Katherine Faulker"/>
        <s v="J. W. Goethe"/>
        <s v="Abdulrazak Gurnah"/>
        <s v="Sadeqa Johnson"/>
        <s v="Carola Saavedra"/>
        <s v="Lily King"/>
        <s v="Elif Shafak"/>
        <s v="Shari Lapena"/>
        <s v="Virginie Despenter"/>
        <s v="Thrity Umrigar"/>
        <s v="Elena Medel"/>
        <s v="David Foenkinos"/>
        <s v="David Grossman"/>
        <s v="Emily Henry"/>
        <s v="Terry McMillan"/>
        <s v="Barbara O’Neal"/>
        <s v="Charlotte McConaghy"/>
        <s v="Stacy Willingham"/>
        <s v="Karine Tuil"/>
        <s v="Christina Baker Kline"/>
        <s v="Mohsin Hamid"/>
        <s v="Shelby Van Pelt"/>
        <s v="Clara Dupont-Monod"/>
        <s v="Kamila Shamsie"/>
        <s v="Pablo Zorzi"/>
        <s v="Patrick Dennis"/>
        <s v="Virginie Grimaldi"/>
        <s v="Tara. M. Stringfellow"/>
        <s v="Brianna Labuskes"/>
        <s v="Dany Laferrière"/>
        <s v="Suzanne Redferarn"/>
        <s v="Socorro Acioli"/>
        <s v="Nguyễn Phan Quế Mai"/>
        <s v="Henry James"/>
        <s v="Brendan Slocumb"/>
        <s v="Jabari Asim"/>
        <s v="Gillian McAllister"/>
        <s v="Julia Dantas"/>
        <s v="Denny S. Bryce"/>
        <s v="Louise Meriwether"/>
        <s v="Julia Heaberlin"/>
        <s v="Lao She"/>
        <s v="Jenny Tinghi Zhang"/>
        <s v="Kate Solly"/>
        <s v="Amélie Nothomb"/>
        <s v="Jodi Picoult"/>
        <s v="Sigrid Nunez"/>
        <s v="Waldson Souza"/>
        <s v="Mariana Salomão Carrara"/>
        <s v="Jo Nesbø"/>
        <s v="Domenico Starnone"/>
        <s v="Toya Wolfe"/>
        <s v="Franz Kafk"/>
        <s v="Renan Silva"/>
        <s v="Alana S. Portero"/>
        <s v="Leila Aboulela"/>
        <s v="Rachel M. Harper"/>
        <s v="Matthew Blake"/>
        <s v="Ruth Guimarães"/>
        <s v="Adrienne Young"/>
        <s v="Maria Firmina dos Reis"/>
        <s v="Jefersom Tenório"/>
        <s v="Zadie Smith"/>
        <s v="Brock Yates"/>
        <s v="Andréa Del Fuego"/>
        <s v="James Baldwin"/>
        <s v="Alison Espach"/>
        <s v="Steve Cavanagh"/>
        <s v="Manoel de Barros"/>
        <s v="Tomasz Jedrowski"/>
        <s v="Filipa Fonseca Silva"/>
        <s v="Fernando Carrao"/>
        <s v="Renata Belmonte"/>
        <s v="Fido Nesti"/>
        <s v="Pablo Neruda"/>
        <s v="Luiz Raul Machado"/>
        <s v="Raul Fernandez"/>
        <s v="Marguerite Duras"/>
        <s v="Andy Griffiths/Terry Denton"/>
        <s v="Laerte/Rafael Coutinho"/>
        <s v="Shirley Sodré"/>
        <s v="Masaji Ishikawa"/>
        <s v="José Carlos Capinan"/>
        <s v="Freida McFadden"/>
        <s v="Gayl Jones"/>
        <s v="Isabel Cañas"/>
        <s v="Jeff Kinney"/>
        <s v="Édouard Louis"/>
        <s v="Elyse Durham"/>
        <s v="Patricia de Arias"/>
        <s v="Gabriel Dearo &amp; Manu Digilo"/>
        <s v="Edith Wharton"/>
        <s v="Walter Moreira Santos"/>
        <s v="Natacha Appanah"/>
        <s v="Hermann Hesse"/>
        <s v="Oriana Ramunno"/>
        <s v="Javier Castillo"/>
        <s v="Happy Books"/>
        <s v="Florence Knapp"/>
        <s v="Simone AZ"/>
        <s v="Lisa Ridzén"/>
        <s v="Marco Haurélio"/>
        <s v="Amy Tintera"/>
        <s v="Julie Oliveira/Rouxinol do Rinaré"/>
        <s v="Jonas Samaúma"/>
        <s v="Maria José Silveira"/>
        <s v="Luke Pearson"/>
        <s v="Bruno Nunes"/>
        <s v="Tatiana Țîbuleac"/>
        <s v="Leonardo Magalhães"/>
        <s v="Jonas Rosa dos Reis"/>
        <s v="Vanessa Ratton/Lalan Bessoni"/>
        <s v="Andressa Zoi Nathanalidis"/>
        <s v="Walcyr Carrasco"/>
        <s v="Jean Claude"/>
        <s v="Ricardo Silvestrin"/>
        <s v="Fernando Nuno"/>
        <s v="Marjan Kamali"/>
        <s v="Maria Valéria Rezende"/>
        <s v="Alejandro Puyana"/>
        <s v="Afonso Cruz"/>
        <s v="Jamaica Kincaid"/>
        <s v="Lima Barreto"/>
        <s v="Virginia Evans"/>
        <s v="Annie Ernaux"/>
        <s v="Rainer Maria Rilke"/>
        <s v="Manuel Filho &amp; Helô Barbí"/>
        <s v="Editora Bicho Esperto"/>
        <s v="Erin Crosby Eckstine"/>
        <s v="Elisabete da Cruz"/>
        <m/>
      </sharedItems>
    </cacheField>
    <cacheField name="Título">
      <sharedItems containsBlank="1" containsMixedTypes="1" containsNumber="1" containsInteger="1">
        <s v="A Ilha Perdida"/>
        <s v="Flicts"/>
        <s v="Marcelo, Martelo, Marmelo"/>
        <s v="O Rapto do Garoto de Ouro"/>
        <s v="Acúcar Amargo"/>
        <s v="Harry Potter e a Pedra Filosofal"/>
        <s v="Depois Daquela Viagem"/>
        <s v="Harry Potter e a Câmera Secreta"/>
        <s v="Harry Potter e o Prisioneiro de Azkaban"/>
        <s v="O Hobbit"/>
        <s v="O Senhor dos Anéis"/>
        <s v="Harry Potter e o Cálice de Fogo"/>
        <s v="O Vampiro que Descobriu o Brasil"/>
        <s v="Suspiro Poéticos e Saudades"/>
        <s v="Amor de Perdição"/>
        <s v="O Cortiço"/>
        <s v="Entrevista Com Vampiro"/>
        <s v="Rainha da Tempestade"/>
        <s v="O Nome da Rosa"/>
        <s v="Os Sete"/>
        <s v="Harry Potter e a Ordem de Fênix"/>
        <s v="A Moreninha"/>
        <s v="Lira dos Vinte Anos"/>
        <s v="A Viuvinha/Cinco Minutos"/>
        <s v="O Guarani"/>
        <s v="Lucíola"/>
        <s v="Iracema"/>
        <s v="Senhora"/>
        <s v="A Escrava Isaura"/>
        <s v="Memórias Póstumas de Brás Cubas"/>
        <s v="Várias Histórias"/>
        <s v="Alguma Poesia"/>
        <s v="São Bernardo"/>
        <s v="Vestido de Noiva"/>
        <s v="A Hora e a Vez de Augusto Matraga"/>
        <s v="Romance Negro, Feliz Ano Novo e Outros Contos"/>
        <s v="A Hora da Estrela"/>
        <s v="Auto do Frade"/>
        <s v="Marília de Dirceu"/>
        <s v="Macunaíma"/>
        <s v="As Brumas de Avalon - Vol. 3"/>
        <s v="As Brumas de Avalon - Vol. 2"/>
        <s v="As Brumas de Avalon - Vol. 4"/>
        <s v="As Brumas de Avalon - A Senhora da Magia"/>
        <s v="Comédias da Vida Privada"/>
        <s v="Todas as Histórias do Analista de Bajé"/>
        <s v="A Rainha Sol"/>
        <s v="O Código Da Vinci"/>
        <s v="Harry Potter e o Enigma do Príncipe"/>
        <s v="As Crônicas de Nárnia"/>
        <s v="Enterrem meu Coração na Curva do Rio"/>
        <s v="O Arqueiro"/>
        <s v="Musashi Vol. II"/>
        <s v="O Exorcista"/>
        <s v="Fortaleza Digital"/>
        <s v="Anjos e Demônios"/>
        <s v="Ponto de Impacto"/>
        <s v="Harry Potter e as Relíquias da Morte"/>
        <s v="Eistein Sua Vida Seu Universo"/>
        <s v="Crime e Castigo - Vol II"/>
        <s v="Crime e Castigo - Vol I"/>
        <s v="O Muro"/>
        <s v="O Criminalista"/>
        <s v="O Evangelho Segundo Jesus Cristo"/>
        <s v="O Caçador de Pipas"/>
        <s v="A Cospiração Franciscana"/>
        <s v="Hannibal  - O Origem do Mal"/>
        <s v="A Divina Comédia"/>
        <s v="O Príncipe"/>
        <s v="Pirâmides"/>
        <s v="Lua Nova"/>
        <s v="Eclipse"/>
        <s v="Amanhecer"/>
        <s v="Madame Bovary"/>
        <s v="O Segredo do Pai Nosso"/>
        <s v="Uma História que não foi Contada"/>
        <s v="O Poderoso Chefão"/>
        <s v="Silmarillion"/>
        <s v="Os Restos Mortais"/>
        <s v="Os Contos de Beedle, O Bardo"/>
        <s v="As Ruínas"/>
        <s v="A Mão Esquerda de Deus"/>
        <s v="Vale Tudo: Tim Maia"/>
        <s v="Frankenstein"/>
        <s v="Como o Futebol Explica o Mundo"/>
        <s v="O Código da Inteligência"/>
        <s v="Aos Olhos do Condor"/>
        <s v="O Fascínio do Universo"/>
        <n v="1808.0"/>
        <s v="Mentes Perigosas"/>
        <s v="A Outra Face"/>
        <s v="Contos Inacabados"/>
        <s v="Amor nos Tempos do Cólera"/>
        <s v="O Mundo de Sofia"/>
        <s v="Ensaio sobre a Cegueira"/>
        <s v="A Guerra dos Tronos"/>
        <s v="Tequila Vermelha"/>
        <s v="A Fúria dos Reis"/>
        <s v="O Homem que Ouve Cavalos"/>
        <s v="O Ladrão de Raios"/>
        <s v="Os Filhos de Húrin"/>
        <s v="Caim"/>
        <s v="O Símbolo Perdido"/>
        <s v="Ágape"/>
        <s v="Da Pré-História a Grécia Antiga"/>
        <s v="O Retrato de Dorian Gray"/>
        <s v="A Tormenta das Espadas"/>
        <s v="O Mar de Monstros"/>
        <s v="A Batalha do Apocalipse"/>
        <s v="Alien e Predador versus Lampião"/>
        <s v="Fora da Lei"/>
        <s v="Assassin's Creed: Renascença"/>
        <s v="Deuses, Espaçonaves e Terra"/>
        <s v="Civilização que o Mundo Esqueceu"/>
        <s v="Maria Stuart"/>
        <s v="Tônio Kroeger e a Morte em Veneza"/>
        <s v="Os Pilares da Terra"/>
        <s v="O Rei do Inverno"/>
        <s v="O Inimigo de Deus"/>
        <s v="Excalïbur"/>
        <s v="Mahatma Gandhi"/>
        <s v="O Festim dos Corvos"/>
        <s v="Roberto Carlos em Detalhes"/>
        <s v="A Dança dos Dragões"/>
        <s v="Guia Politicamente Incorreto da América Latina"/>
        <s v="O Livro de Ouro da Mitologia"/>
        <s v="Ex-heróis"/>
        <s v="Para Entender a Inquisição"/>
        <s v="O Guia do Mochileiro das Galáxias"/>
        <s v="Vou Lhe Mostar o Medo: o Mistério de Edgar Allan Poe"/>
        <s v="História da Magia"/>
        <s v="O Vermelho e o Negro"/>
        <s v="Vitória"/>
        <s v="O Casamento"/>
        <s v="A Magia de Holy Wood"/>
        <s v="Quando as Bruxas Viajam"/>
        <s v="Paddy Clarke Ha Ha Ha "/>
        <s v="A Louca da Casa"/>
        <s v="O Último Reino"/>
        <s v="O Cavaleiro da Morte"/>
        <s v="Os Senhores do Norte"/>
        <s v="A Canção da Espada"/>
        <s v="Terra em Chamas"/>
        <s v="Inferno"/>
        <s v="Análise Mortal"/>
        <s v="Os Grandes Matemáticos"/>
        <s v="A Balada de Adam Henry"/>
        <s v="The Adventures of Tom Sawyer"/>
        <s v="O Capote"/>
        <s v="Vida e Proeza de Aléxis Zorbás"/>
        <s v="O Leopardo"/>
        <s v="Ragtime"/>
        <s v="A Câmara Sangrenta e Outras Histórias"/>
        <s v="Quase Memória"/>
        <s v="Deuses Americanos"/>
        <s v="O Xará"/>
        <s v="Atlantis"/>
        <s v="As Mentiras de Locke Malora"/>
        <s v="A Montanha e o Rio"/>
        <s v="Mares de Sangue"/>
        <s v="Limonov"/>
        <s v="Os Irmãos Sisters"/>
        <s v="O Orfanato da Srta. Peregrine Para Crinaças Peculiares"/>
        <s v="As Alegrias da Maternidade"/>
        <s v="Uns e Outros: Contos Espelhados"/>
        <s v="No Seu Pescoço"/>
        <s v="Noites tropicais: Solos, improvisos e memórias musicais"/>
        <s v="Voragem"/>
        <s v="Nada"/>
        <s v="Retorno a Brideshead"/>
        <s v="A Promessa/A Pane"/>
        <s v="A Praça do Diamante"/>
        <s v="As Três Marias"/>
        <s v="O Arco-Íris da Gravidade"/>
        <s v="As Últimas Testemunhas"/>
        <s v="O Clube da Luta"/>
        <s v="O Nome do Vento"/>
        <s v="Só Garotos - Just Kids"/>
        <s v="The Underground Railroad: Os Caminhos para a Liberdade"/>
        <s v="Clube da Luta 2"/>
        <s v="O Alforge"/>
        <s v="Fique Comigo"/>
        <s v="A Boa Filha"/>
        <s v="Stalker"/>
        <s v="Devoção"/>
        <s v="A Vendedora de Livros"/>
        <s v="Homens São de Marte, Mulheres São de Vẽnus"/>
        <s v="Eu Sei Por Que o Pássaro Canta na Gaiola"/>
        <s v="Jude, o Obscuro"/>
        <s v="O Coração É um Caçador Solitário"/>
        <s v="O Deserto dos Tártaros"/>
        <s v="O Mundo se Despedaça"/>
        <s v="O Sonho dos Heróis"/>
        <s v="Tempo de Migrar para o Norte"/>
        <s v="O Olho Mais Azul"/>
        <s v="Primavera Num Espelho Partido"/>
        <s v="Intérprete de Males"/>
        <s v="Apenas um Olhar"/>
        <s v="A Velocidade da Luz"/>
        <s v="O Sentido de um Fim"/>
        <s v="Todos Nós Adorávamos Caubóis"/>
        <s v="A Seca"/>
        <s v="A Retornada"/>
        <s v="Os Sete Maridos de Evelyn Hugo"/>
        <s v="A Rede de Alice"/>
        <s v="O Dia em que Selma Sonhou com um Ocapi"/>
        <s v="A Filha do Rei do Pântano"/>
        <s v="O Quarto em Chamas"/>
        <s v="Um Casamento Americano"/>
        <s v="Southernmost - Rumo ao sul"/>
        <s v="Existo, Existo, Existo: Dezessete tropeços na morte"/>
        <s v="O Bom Filho"/>
        <s v="Todas as Cores do Céu"/>
        <s v="Rua Aribau"/>
        <s v="A Única Mulher"/>
        <s v="Autobiografia"/>
        <s v="Uma Nova Chance para o Sr. Doubler"/>
        <s v="Armas, Germes e Aço"/>
        <s v="Ainda Estou Aqui"/>
        <s v="Querido Edward"/>
        <s v="Imperialismo Ecológico"/>
        <s v="A Vida Secreta dos Escritores"/>
        <s v="O Canto do Dodo"/>
        <s v="O Jardim de Bronze"/>
        <s v="O Dia em que a Poesia Derrotou um Ditador"/>
        <s v="Sonho de uma Noite de Verão"/>
        <s v="Amor e Amizades &amp; outras histórias"/>
        <s v="Alice no País das Maravilhas"/>
        <s v="O Alienista"/>
        <s v="O Anticristo"/>
        <s v="Todos os Nossos Ontens"/>
        <s v="Um Homem Bom É Difícil de Encontrar"/>
        <s v="A Terceira Vida de Grange Copeland"/>
        <s v="A Mão e a Luva"/>
        <s v="Êxtase da Transformação"/>
        <s v="Uma Casa no Fim do Mundo"/>
        <s v="Sul da Fronteira, Oeste do Sol"/>
        <s v="Afirma Pereira"/>
        <s v="O Temor do Sábio"/>
        <s v="Adeus, Gana"/>
        <s v="O Fim do Homem Soviético"/>
        <s v="Nascido do Crime"/>
        <s v="Estação Atocha"/>
        <s v="Escola de Contos Eróticos para Viúvas"/>
        <s v="Ponto Cardeal"/>
        <s v="As Sete Mortes de Evelyn Hardcastle"/>
        <s v="Uma Escada para o Céu"/>
        <s v="Herdeiras do Mar"/>
        <s v="O Sol Mais Brilhante"/>
        <s v="Os Sonhadores"/>
        <s v="Minha Adorada Esposa"/>
        <s v="Carrossel Sombrio e outras histórias"/>
        <s v="Sobre a Ficção. Conversas com Romancistas"/>
        <s v="Um Estudo em Vermelho"/>
        <s v="Neil Youg a Autobiografia"/>
        <s v="Tudo de Bom Vai Acontecer"/>
        <s v="Cartada Final"/>
        <s v="Minha Vida de Rata"/>
        <s v="O Mapa de Sal e Estrelas"/>
        <s v="Moisés Negro"/>
        <s v="A Mulher Ruiva"/>
        <s v="Frida Kahlo e as cores da vida"/>
        <s v="Claro e Longo Rio"/>
        <s v="Eu Morreria por Ti e outras histórias"/>
        <s v="Mistérios Perdidos"/>
        <s v="O Céu da Meia-Noite"/>
        <s v="Sula"/>
        <s v="Eu Não Sei Quem Você É"/>
        <s v="O Chamado de Cthulhu e outros contos"/>
        <s v="The Flight of the Iguana "/>
        <s v="Nêmesis"/>
        <s v="Gostaria que você estivesse aqui"/>
        <s v="A Garota que não se Calou"/>
        <s v="O Pássaro Secreto"/>
        <s v="Partes de um Corpo"/>
        <s v="Partes de uma Casa"/>
        <s v="Espelho Partido"/>
        <s v="Somos Todos Adultos"/>
        <s v="O Mapeador de Ausências"/>
        <s v="A Biblioteca da meia-noite"/>
        <s v="Sonhos em Tempos de Guerra"/>
        <s v="Os Cem Anos de Lenni e Margot"/>
        <s v="A Trégua"/>
        <s v="Em Fogo Lento"/>
        <s v="Aprender a falar com as plantas"/>
        <s v="Suzane. Assassina e Manipuladora"/>
        <s v="Última Parada"/>
        <s v="Clara da Luz do Mar"/>
        <s v="Uma Outra História: textos contemporâneos"/>
        <s v="Menino Manba-Negra"/>
        <s v="Escritos Negros: textos contemporâneos"/>
        <s v="Longe das Aldeias"/>
        <s v="Gênio &amp; Nanquim"/>
        <s v="Nada Para Ver Aqui"/>
        <s v="Igualzinho a Você"/>
        <s v="Pesado"/>
        <s v="A Pintora de Henna"/>
        <s v="Samarcanda"/>
        <s v="30 Artistas LGBTQ+"/>
        <s v="Verônica e os pinguins"/>
        <s v="O Parque das Irmãs Maravilhosas"/>
        <s v="O Livro dos Anseios"/>
        <s v="Indígenas de Férias"/>
        <s v="O Beijo do Rio"/>
        <s v="Casas Vazias"/>
        <s v="A Pequena Loja de Venenos"/>
        <s v="K."/>
        <s v="Greenwich Park"/>
        <s v="Os Sofrimentos do Jovem Werther"/>
        <s v="Á Beira-Mar"/>
        <s v="Pheby"/>
        <s v="Com Armas Sonolentas"/>
        <s v="Escritores &amp; Amantes"/>
        <s v="A Ilha das Árvores Perdidas"/>
        <s v="Alguém que Você Conhece"/>
        <s v="Apocalipse Bebê"/>
        <s v="Honra"/>
        <s v="As Maravilhas"/>
        <s v="O Mistério de Henri Pick"/>
        <s v="Alguém para correr comigo"/>
        <s v="Loucos por Livros"/>
        <s v="Mama"/>
        <s v="Quando Acreditávamos em Sereias"/>
        <s v="Migrações"/>
        <s v="Uma Centelha na Escuridão"/>
        <s v="Coisas Humanas"/>
        <s v="Exílio"/>
        <s v="Como ficar podre de rico na Ásia Emergente"/>
        <s v="Criaturas Extraordinariamente Brilhantes"/>
        <s v="Se Adaptar"/>
        <s v="Lar em Chamas"/>
        <s v="Colheita de Ossos"/>
        <s v="A Mulher do Século"/>
        <s v="O Que Resta de Nós"/>
        <s v="Memphis"/>
        <s v="A Bibliotecária dos Livos Queimados"/>
        <s v="País sem Chapéu"/>
        <s v="Hadley &amp; Grace"/>
        <s v="Oração para Desaparecer"/>
        <s v="As Montanhas cantam"/>
        <s v="Contos de Horror da América Latina"/>
        <s v="A Outra Volta do Parafuso"/>
        <s v="A Conspiração do Violino"/>
        <s v="Em Algum Lugar lá Fora"/>
        <s v="Lugar errado, hora errada"/>
        <s v="Ela se chama Rodolfo"/>
        <s v="A Outra Princesa"/>
        <s v="Meu Pai e suas Apostas"/>
        <s v="A Noite vai te Encontrar"/>
        <s v="O Garoto do Riquixá"/>
        <s v="As Quatros Vidas de Daiyu"/>
        <s v="Na praia"/>
        <s v="O Coletivo de Crochê de Copeton"/>
        <s v="Primeiro Sangue"/>
        <s v="Queria que Você Estivesse Aqui"/>
        <s v="Os Vulneráveis"/>
        <s v="23 Minutos"/>
        <s v="A Árvore Mais Sozinha do Mundo"/>
        <s v="Lua de Sangue"/>
        <s v="Línguas"/>
        <s v="No Último Verão da State Street"/>
        <s v="O Segredo da Alegria"/>
        <s v="Uma travessia por perturbações: vinte contos"/>
        <s v="A Voz que Ninguém Escutou"/>
        <s v="A Vida Impossível"/>
        <s v="Mau Hábito"/>
        <s v="A Voz das Águas"/>
        <s v="Este lado de Providence"/>
        <s v="Anna O"/>
        <s v="Água Funda"/>
        <s v="Os Descaminhos de June Farrow"/>
        <s v="Úrsula"/>
        <s v="O Avesso da Pele"/>
        <s v="Dentes Brancos"/>
        <s v="Ferrari - O Homem por trás das máquinas"/>
        <s v="Os Malaquias"/>
        <s v="Uma Vida Bela"/>
        <s v="Proclamem nas Montanhas"/>
        <s v="Como Arruinar um Casamento"/>
        <s v="Pactos Mortais"/>
        <s v="O Guardados de Águas"/>
        <s v="Nadando no Escuro"/>
        <s v="E Se Eu Morrer Amanhã"/>
        <s v="Sempre Amigos"/>
        <s v="Mundos de uma Noite Só"/>
        <s v="Os Lusíadas em quadrinhos"/>
        <s v="A Contagem dos Sonhos"/>
        <s v="Fulgor e Morte de Joaquín Murita"/>
        <s v="Casa de Papel"/>
        <s v="Jabuticabeira"/>
        <s v="O Amante"/>
        <s v="A Casa na Árvore com 13 Andares"/>
        <s v="Vida Fóssil"/>
        <s v="Anne de Green Gables"/>
        <s v="Um Rio na Escuridão"/>
        <s v="Inquisitorial poemas"/>
        <s v="O Namorado"/>
        <s v="Corregidora"/>
        <s v="Invasores del Norte"/>
        <s v="Diário de um Banana, Segurando Vela"/>
        <s v="O Desabamento"/>
        <s v="Uma Casa na Areia"/>
        <s v="Maya &amp; Natasha"/>
        <s v="A Casa na Árvore com 26 Andares"/>
        <s v="Do amor e outros demônios"/>
        <s v="Fica Comigo"/>
        <s v="Ecos da Floresta"/>
        <s v="As Aventuras de Mike: priminha irritante no Reino dos Unicórnios"/>
        <s v="A Era da inocência"/>
        <s v="Seis dias em Bombain"/>
        <s v="O Ano do Nirvana"/>
        <s v="Trópico da Violência"/>
        <s v="As Aventuras de Mike"/>
        <s v="Knulp"/>
        <s v="O Menino que Desenhava as Sombras"/>
        <s v="As Aventuras de Mike: A origem de  Robson"/>
        <s v="La Chica de Nieve"/>
        <s v="O Dragão que olhou para a Estrela"/>
        <s v="Noites distantes do Castelo"/>
        <s v="O Acordeão de Artur"/>
        <s v="As Aventuras na Selva"/>
        <s v="Um Nabo no Meu Quintal"/>
        <s v="Os Nomes"/>
        <s v="Venham e Juntem-se a Mim"/>
        <s v="Dakota Blues"/>
        <s v="Quanto os Pássaros Voam para o Sul"/>
        <s v="Museu Vale - Um sonho extramuros"/>
        <s v="Regina Ruschi: A Guardiã das Memórias Ancestrais"/>
        <s v="No Rastro da Mentira"/>
        <s v="Dilvana Silva Santos: Catadora de Memórias"/>
        <s v="Ailton Krenak: O Rio da Memória"/>
        <s v="Maria Altamira"/>
        <s v="Hilda e o Cão Negro"/>
        <s v="Se Eu Plantar uma Árvore"/>
        <s v="Um Oceano de Coisas Não Ditas"/>
        <s v="Diário de Banana, Casa dos Horrores"/>
        <s v="O verão em que mamãe teve olhos verdes"/>
        <s v="Somos todos Saíra-apunhalada: Uma história sobre o valor da natureza"/>
        <s v="Contos de Humor da América Latina"/>
        <s v="A Lenda do Lagarto Azul"/>
        <s v="O Enigma da família Rener"/>
        <s v="Zwń vida"/>
        <s v="Rick, o Nerd Detetive"/>
        <s v="Pinóquia"/>
        <s v="Mmmmmonstros!"/>
        <s v="O Quintal da Minha Casa"/>
        <s v="As Mulheres-leão de Teerã"/>
        <s v="As Aventuras de Mike: o bebê chegou"/>
        <s v="As Aventuras de Mike: mudando de casa"/>
        <s v="O Que Podemos Saber"/>
        <s v="Maior que o Céu"/>
        <s v="As Aventuras de Mikie: Pé na estrada"/>
        <s v="O Voo do Guará Vermelho"/>
        <s v="O Gosto da Liberdade"/>
        <s v="Sinopse de Amor e Guerra"/>
        <s v="A Autobiografia da Minha Mãe"/>
        <s v="Clara dos Anjos"/>
        <s v="A Correspondente"/>
        <s v="Os Armários Vazios"/>
        <s v="Cartas a um Jovem Poeta"/>
        <s v="Caracol Sabe Tudo (mas não conta para ninguém)"/>
        <s v="Livro de Quebra Cabeça A Pequena Sereia"/>
        <s v="Junie"/>
        <s v="Férias Animal"/>
        <m/>
      </sharedItems>
    </cacheField>
    <cacheField name="Leitor" numFmtId="0">
      <sharedItems containsBlank="1">
        <s v="Victor V."/>
        <s v="Tulipa S. V."/>
        <m/>
      </sharedItems>
    </cacheField>
    <cacheField name="Continente" numFmtId="0">
      <sharedItems containsBlank="1">
        <s v="América"/>
        <s v="Europa"/>
        <s v="Ásia"/>
        <s v="África"/>
        <s v="Oceania"/>
        <m/>
      </sharedItems>
    </cacheField>
    <cacheField name="Região" numFmtId="0">
      <sharedItems containsBlank="1">
        <s v="Am. Latina"/>
        <s v="Ilhas Britânicas"/>
        <s v="Eu. Meridional"/>
        <s v="Am. Anglo-Saxônica"/>
        <s v="Eu. Ocidental"/>
        <s v="Extremo Oriente"/>
        <s v="Eu. Oriental"/>
        <s v="Oriente Médio"/>
        <s v="Eu. Setentrional"/>
        <s v="Af. Subsaariana"/>
        <s v="Ásia Meridional"/>
        <s v="Caribe"/>
        <s v="Oceania"/>
        <s v="Norte da África"/>
        <m/>
      </sharedItems>
    </cacheField>
    <cacheField name="País" numFmtId="0">
      <sharedItems containsBlank="1">
        <s v="Brasil"/>
        <s v="Inglaterra"/>
        <s v="Portugal"/>
        <s v="USA"/>
        <s v="Itália"/>
        <s v="França"/>
        <s v="Japão"/>
        <s v="Rússia"/>
        <s v="Afeganistão"/>
        <s v="Holanda"/>
        <s v="Colômbia"/>
        <s v="Noruega"/>
        <s v="Irlanda"/>
        <s v="Alemanha"/>
        <s v="Espanha"/>
        <s v="Grécia"/>
        <s v="China"/>
        <s v="Nigéria"/>
        <s v="Suíça"/>
        <s v="Bielorussia"/>
        <s v="Irã"/>
        <s v="Argentina"/>
        <s v="Sudão"/>
        <s v="Uruguai"/>
        <s v="Coréia do Sul"/>
        <s v="Índia"/>
        <s v="Chile"/>
        <s v="Áustria"/>
        <s v="África do Sul"/>
        <s v="Cingapura"/>
        <s v="Escócia"/>
        <s v="Canadá"/>
        <s v="Congo"/>
        <s v="Turquia"/>
        <s v="Moçambique"/>
        <s v="Quênia"/>
        <s v="Haiti"/>
        <s v="Somália"/>
        <s v="Líbano"/>
        <s v="México"/>
        <s v="Tanzania"/>
        <s v="Israel"/>
        <s v="Austrália"/>
        <s v="Paquistão"/>
        <s v="Vietnã"/>
        <s v="Egito"/>
        <s v="Irlanda do Norte"/>
        <s v="Maurícia"/>
        <s v="Suécia"/>
        <s v="Moldávia"/>
        <s v="Venezuela"/>
        <s v="Antígua e Barbuda"/>
        <s v="República Tcheca"/>
        <m/>
      </sharedItems>
    </cacheField>
    <cacheField name="Título.O" numFmtId="0">
      <sharedItems containsBlank="1">
        <s v="A Ilha Perdida"/>
        <s v="Flicts"/>
        <s v="Marcelo, Martelo, Marmelo"/>
        <s v="O Rapto do Garoto de Ouro"/>
        <s v="Acúcar Amargo"/>
        <s v="Harry Potter and the Philosopher's Stone"/>
        <s v="Depois Daquela Viagem"/>
        <s v="Harry Potter and the Chamber of Secrets"/>
        <m/>
        <s v="O Vampiro que Descobriu o Brasil"/>
        <s v="Suspiro Poéticos e Saudades"/>
        <s v="Amor de Perdição"/>
        <s v="O Cortiço"/>
        <s v="Il nome della rosa"/>
        <s v="Os Sete"/>
        <s v="A Moreninha"/>
        <s v="Lira dos Vinte Anos"/>
        <s v="A Viuvinha/Cinco Minutos"/>
        <s v="O Guarani"/>
        <s v="Lucíola"/>
        <s v="Iracema"/>
        <s v="Senhora"/>
        <s v="A Escrava Isaura"/>
        <s v="Memórias Póstumas de Brás Cubas"/>
        <s v="Várias Histórias"/>
        <s v="Alguma Poesia"/>
        <s v="São Bernardo"/>
        <s v="Vestido de Noiva"/>
        <s v="A Hora e a Vez de Augusto Matraga"/>
        <s v="Romance Negro, Feliz Ano Novo e Outros Contos"/>
        <s v="A Hora da Estrela"/>
        <s v="Auto do Frade"/>
        <s v="Marília de Dirceu"/>
        <s v="Macunaíma"/>
        <s v="Comédias da Vida Privada"/>
        <s v="Todas as Histórias do Analista de Bajé"/>
        <s v="La Reine Soleil"/>
        <s v="Miyamoto Musashi (宮本武蔵)"/>
        <s v="Angels &amp; Demons"/>
        <s v="Einstein: His Life and Universe"/>
        <s v="Преступление и наказание (Prestupleniye i nakazaniye)"/>
        <s v="O Criminalista"/>
        <s v="O Evangelho Segundo Jesus Cristo"/>
        <s v="The Kite Runner"/>
        <s v="Fingerprint"/>
        <s v="La Divina Commedia"/>
        <s v="Il Principe"/>
        <s v="O Segredo do Pai Nosso"/>
        <s v="Os Restos Mortais"/>
        <s v="The Ruins"/>
        <s v="Vale Tudo: Tim Maia"/>
        <s v="Ensaio sobre a Cegueira"/>
        <s v="Caim"/>
        <s v="A Batalha do Apocalipse"/>
        <s v="Alien e Predador versus Lampião"/>
        <s v="Assassin's Creed: Renaissance"/>
        <s v="Erinnerungen an die Zukunft"/>
        <s v="Der Tod in Venedig"/>
        <s v="Mahatma Gandhi"/>
        <s v="Roberto Carlos em Detalhes"/>
        <s v="O Casamento"/>
        <s v="La loca de la casa"/>
        <s v="Inferno"/>
        <s v="Análise Mortal"/>
        <s v="The Children Act"/>
        <s v="The Adventures of Tom Sawyer"/>
        <s v="Шинель (Shinel)"/>
        <s v="Βίος και Πολιτεία του Αλέξη Ζορμπά"/>
        <s v="Il Gattopardo"/>
        <s v="Quase Memória"/>
        <s v="Brothers"/>
        <s v="Limonov"/>
        <s v="Miss Peregrine's Home for Peculiar Children"/>
        <s v="The Joys of Motherhood"/>
        <s v="Uns e Outros: Contos Espelhados"/>
        <s v="Noites Tropicais"/>
        <s v="Manji (卍)"/>
        <s v="Nada"/>
        <s v="Das Versprechen"/>
        <s v="La plaça del Diamant"/>
        <s v="As Três Marias"/>
        <s v="Gravity's Rainbow"/>
        <s v="The Saddlebag"/>
        <s v="Stay With Me"/>
        <s v="I Know Why the Caged Bird Sings"/>
        <s v="Il deserto dei Tartari"/>
        <s v="Things Fall Apart"/>
        <s v="El sueño de los héroes"/>
        <s v="Mawsim al-Hijrah ilá al-Shamál"/>
        <s v="Primavera con una esquina rota"/>
        <s v="Todos Nós Adorávamos Caubóis"/>
        <s v="The Dry"/>
        <s v="L'Arminuta"/>
        <s v="I Am, I Am, I Am: Seventeen Brushes with Death"/>
        <s v="종의 기원"/>
        <s v="The Color of Our Sky"/>
        <s v="Rua Aribau"/>
        <s v="The Only Woman in the Room"/>
        <s v="Autobiografia"/>
        <s v="Guns, Germs, and Steel: The Fates of Human Societies"/>
        <s v="Ainda Estou Aqui"/>
        <s v="El Jardín de Bronce"/>
        <s v="A Midsummer Night's Dream"/>
        <s v="O Alienista"/>
        <s v="Tutti i nostri ieri"/>
        <s v="A Mão e a Luva"/>
        <s v="Rausch der Verwandlung"/>
        <s v="Kokkyō no minami, taiyō no nishi (国境の南、太陽の西)"/>
        <s v="Sostiene Pereira"/>
        <s v="Atocha Station"/>
        <s v="The Brightest Sun"/>
        <s v="Sobre a Ficção. Conversas com Romancistas"/>
        <s v="A Study in Scarlet"/>
        <s v="The Map of Salt and Stars"/>
        <s v="Petit Piment"/>
        <s v="The Red-Haired Woman"/>
        <s v="Frida Kahlo und die Farben des Lebens"/>
        <s v="Gostaria que você estivesse aqui"/>
        <s v="The Girl with the Louding Voice"/>
        <s v="O Pássaro Secreto"/>
        <s v="Partes de um Corpo"/>
        <s v="Partes de uma Casa"/>
        <s v="Mirall trencat"/>
        <s v="Dreams in a Time of War"/>
        <s v="The One Hundred Years of Lenni and Margot"/>
        <s v="La tregua"/>
        <s v="Aprendre a parlar amb les plantes"/>
        <s v="Suzane. Assassina e Manipuladora"/>
        <s v="Claire of the Sea Light"/>
        <s v="Uma Outra História: textos contemporâneos"/>
        <s v="Black Mamba Boy "/>
        <s v="Escritos Negros: textos contemporâneos"/>
        <s v="Longe das Aldeias"/>
        <s v="Heavy: An American Memoir"/>
        <s v="The Henna Artist"/>
        <s v="30 Artistas LGBTQ+"/>
        <s v="How the Penguins Saved Veronica"/>
        <s v="Las malas"/>
        <s v="The Book of Longings"/>
        <s v="O Beijo do Rio"/>
        <s v="Casas Vazias"/>
        <s v="K."/>
        <s v="By the Sea"/>
        <s v="Apocalypse Bébé"/>
        <s v="Las maravillas"/>
        <s v="Migrations"/>
        <s v="Exile"/>
        <s v="How to Get Filthy Rich in Rising Asia"/>
        <s v="S'Adapter"/>
        <s v="Home Fire"/>
        <s v="Colheita de Ossos"/>
        <s v="Oração para Desaparecer"/>
        <s v="The Mountains Sing"/>
        <s v="Contos de Horror da América Latina"/>
        <s v="Ela se chama Rodolfo"/>
        <s v="The Other Princess"/>
        <s v="On Chasil Beach"/>
        <s v="Tuesday Evening with the Copeton Craft Resistance"/>
        <s v="Premier sang"/>
        <s v="Wish You Were Here"/>
        <s v="The Vulnerables"/>
        <s v="23 Minutos"/>
        <s v="A Árvore Mais Sozinha do Mundo"/>
        <s v="Killing Moon"/>
        <s v="Vita mortale e immortale della bambina di Milano"/>
        <s v="Last Summer on State Street"/>
        <s v="The Secret of Joy"/>
        <s v="Uma travessia por perturbações: vinte contos"/>
        <s v="A Voz que Ninguém Escutou"/>
        <s v="The Life Impossible"/>
        <s v="La Mala Costumbra"/>
        <s v="River Spirit"/>
        <s v="This side of Providence"/>
        <s v="Anna O"/>
        <s v="Água Funda"/>
        <s v="The Unmaking of June Farrow"/>
        <s v="Úrsula"/>
        <s v="O Avesso da Pele"/>
        <s v="White Teeth"/>
        <s v="Enzo Ferrari the man, the cars, the races, the machine"/>
        <s v="Os Malaquias"/>
        <s v="Une Belle Vie"/>
        <s v="Go Telkl It on the Mountain"/>
        <s v="The Wedding People"/>
        <s v="Kill For Me Kill For You"/>
        <s v="O Guardados de Águas"/>
        <s v="Swimming in the dark"/>
        <s v="E Se Eu Morrer Amanhã"/>
        <s v="Fernando Carrao"/>
        <s v="Mundos de uma Noite Só"/>
        <s v="Os Lusíadas em quadrinhos"/>
        <s v="Dream Count"/>
        <s v="Fulgor y Muerte de Joaquín Murieta"/>
        <s v="Casa de Papel"/>
        <s v="Jabuticabeira"/>
        <s v="L'Amant"/>
        <s v="The 13-Storey Treehouse"/>
        <s v="Vida Fóssil"/>
        <s v="Anne de Green Gables"/>
        <s v="A River in Darkness: One Man's Escape from North Korea"/>
        <s v="Inquisitorial poemas"/>
        <s v="The Boyfriend"/>
        <s v="Corregidora"/>
        <s v="Vampires of el Norte"/>
        <s v="Diary of a wimpy kid: The Third Wheel"/>
        <s v="L'effondrement"/>
        <s v="Una casa en la arena"/>
        <s v="Maya &amp; Natasha"/>
        <s v="Del amor y otros demonios"/>
        <s v="Fica Comigo"/>
        <s v="The God of the Woods"/>
        <s v="As Aventuras de Mike: priminha irritante no Reino dos Unicórnios"/>
        <s v="The Age of Innocence"/>
        <s v="Six Days in Bombay"/>
        <s v="O Ano do Nirvana"/>
        <s v="Tropique de la violence"/>
        <s v="As Aventuras de Mike"/>
        <s v="Knulp: Drei Geschichten aus dem Leben Knulps"/>
        <s v="Il bambino  che dusegnava le ombre"/>
        <s v="As Aventuras de Mike: A origem de  Robson"/>
        <s v="La Chica de Nieve"/>
        <s v="Mammoth World"/>
        <s v="The Names"/>
        <s v="Gather Together in My Name"/>
        <s v="Dakota Blues"/>
        <s v="Tranorna flyger söderut"/>
        <s v="Museu Vale - Um sonho extramuros"/>
        <s v="Regina Ruschi: A Guardiã das Memórias Ancestrais"/>
        <s v="Listen for the Lie"/>
        <s v="Ailton Krenak: O Rio da Memória"/>
        <s v="Maria Altamira"/>
        <s v="Hilda and the Black Hound"/>
        <s v="Bruno Nunes"/>
        <s v="A Sea of Unspokn Things"/>
        <s v="Diary of a wimpy kid: Cabin Fever"/>
        <s v="Vara în care mama a avut ochii verzi"/>
        <s v="Somos todos Saíra-apunhalada: Uma história sobre o valor da natureza"/>
        <s v="Contos de Humor da América Latina"/>
        <s v="A Lenda do Lagarto Azul"/>
        <s v="O Enigma da família Rener"/>
        <s v="Zwń vida"/>
        <s v="Rick, o Nerd Detetive"/>
        <s v="Pinóquia"/>
        <s v="Mmmmmonstros!"/>
        <s v="O Quintal da Minha Casa"/>
        <s v="The Lion Woman of Tehran"/>
        <s v="What We Can Know"/>
        <s v="Plus grand que le ciel"/>
        <s v="As Aventuras de Mikie: Pé na estrada"/>
        <s v="O Voo do Guará Vermelho"/>
        <s v="Frredom is a feast"/>
        <s v="Sinopse de Amor e Guerra"/>
        <s v="The Autobiography of my Mother"/>
        <s v="Clara dos Anjos"/>
        <s v="The Correspondent"/>
        <s v="Les Armoires vides"/>
        <s v="Briefe an einen jungen Dichter"/>
        <s v="Caracol Sabe Tudo (mas não conta para ninguém)"/>
        <s v="Livro de Quebra Cabeça A Pequena Sereia"/>
        <s v="Junie"/>
        <s v="Férias Animal"/>
      </sharedItems>
    </cacheField>
    <cacheField name="Sexo" numFmtId="0">
      <sharedItems containsBlank="1">
        <s v="F"/>
        <s v="M"/>
        <s v="A"/>
        <s v="N"/>
        <s v="M/F"/>
        <s v="H"/>
        <s v="H/M"/>
        <m/>
      </sharedItems>
    </cacheField>
    <cacheField name="Editora" numFmtId="0">
      <sharedItems containsBlank="1">
        <s v="Ática"/>
        <s v="Melhoramentos"/>
        <s v="Salamandra"/>
        <s v="Rocco"/>
        <s v="Martins Fontes"/>
        <s v="UnB"/>
        <s v="Klick"/>
        <s v="Artenova"/>
        <s v="Círculo do Livro"/>
        <s v="Nova Fronteira"/>
        <s v="Novo Século"/>
        <s v="Martin Claret"/>
        <s v="Ediouro"/>
        <s v="Companhia das Letras"/>
        <s v="Record"/>
        <s v="L&amp;PM Pocket"/>
        <s v="Villa Rica"/>
        <s v="Nova Cultural"/>
        <s v="Bertrand Brasil"/>
        <s v="Sextante"/>
        <s v="WMF Martins Fontes"/>
        <s v="Estação Liberdade"/>
        <s v="Abril"/>
        <s v="Landmark"/>
        <s v="Pocket Ouro"/>
        <s v="Conrad"/>
        <s v="Intrínseca"/>
        <s v="Publifolha"/>
        <s v="Planeta"/>
        <s v="Cleófas"/>
        <s v="Suma de Letras"/>
        <s v="Objetiva"/>
        <s v="Zahar"/>
        <s v="Odysseum"/>
        <s v="Principium"/>
        <s v="LeYa Brasil"/>
        <s v="Gllobo"/>
        <s v="Melhoramentos livraria"/>
        <s v="Verus"/>
        <s v="Chico Editora"/>
        <s v="Hemus"/>
        <s v="Planeta do Brasil"/>
        <s v="Leya"/>
        <s v="Tecnoprint"/>
        <s v="Arqueiro"/>
        <s v="Geração Editorial"/>
        <s v="Ibrasa"/>
        <s v="Dublinense"/>
        <s v="Ar Editora"/>
        <s v="M.Books"/>
        <s v="Penguin Books"/>
        <s v="Grua Livros"/>
        <s v="Biblioteca Azul"/>
        <s v="Alfaguara"/>
        <s v="Harlequin"/>
        <s v="José Olympio"/>
        <s v="Ecco Press"/>
        <s v="HarperCollins Brasil"/>
        <s v="Faro Editora"/>
        <s v="Astral Cultural"/>
        <s v="Morro Branco"/>
        <s v="Paralela"/>
        <s v="Todavia"/>
        <s v="TAG - Experiências Literárias"/>
        <s v="Cambridge University Press"/>
        <s v="Globo Livros"/>
        <s v="Saraiva de Bolso"/>
        <s v="Rádio Londres"/>
        <s v="Malê"/>
        <s v="Tordesilhas"/>
        <s v="Trama"/>
        <s v="Antofágica"/>
        <s v="Chronos"/>
        <s v="Nature"/>
        <s v="Schwarcz"/>
        <s v="Matrix"/>
        <s v="Seguinte"/>
        <s v="TLS Books"/>
        <s v="Roça Nova"/>
        <s v="Gutenberg"/>
        <s v="Verus Editora"/>
        <s v="Ciranda Cultural"/>
        <s v="Alta Books"/>
        <s v="Ambassade de France au Brésil"/>
        <s v="Starlin Alta Editora"/>
        <s v="Agence Litteraire Pierre Astier &amp; Associès"/>
        <s v="Instante"/>
        <s v="DBA"/>
        <s v="ABDR"/>
        <s v="Grupo Autêntica"/>
        <s v="Paris d Hitória"/>
        <s v="Casa dos Livros"/>
        <s v="Editora 34"/>
        <s v="HR LTDA"/>
        <s v="Best Seller"/>
        <s v="FTD"/>
        <s v="Peirópolis"/>
        <s v="Rovelle"/>
        <s v="Fundamento"/>
        <s v="Seiva"/>
        <s v="Pé da Letra"/>
        <s v="Civilização brasileira"/>
        <s v="V&amp;R"/>
        <s v="Desbolsollo"/>
        <s v="Todolivro"/>
        <s v="Vale"/>
        <s v="Leiturinha"/>
        <s v="Mundaréu"/>
        <s v="IMD"/>
        <s v="Spirito Sancto"/>
        <s v="Impresso no Brasil"/>
        <s v="Atica"/>
        <s v="Moderna"/>
        <s v="Fósforo"/>
        <s v="Editora Bicho Esperto"/>
        <m/>
      </sharedItems>
    </cacheField>
    <cacheField name="Século" numFmtId="0">
      <sharedItems containsString="0" containsBlank="1" containsNumber="1" containsInteger="1">
        <n v="20.0"/>
        <n v="21.0"/>
        <n v="19.0"/>
        <n v="18.0"/>
        <n v="14.0"/>
        <n v="16.0"/>
        <m/>
      </sharedItems>
    </cacheField>
    <cacheField name="Década" numFmtId="0">
      <sharedItems containsString="0" containsBlank="1" containsNumber="1" containsInteger="1">
        <n v="40.0"/>
        <n v="60.0"/>
        <n v="70.0"/>
        <n v="80.0"/>
        <n v="90.0"/>
        <n v="30.0"/>
        <n v="0.0"/>
        <n v="50.0"/>
        <n v="20.0"/>
        <n v="10.0"/>
        <m/>
      </sharedItems>
    </cacheField>
    <cacheField name="Ano_publicação" numFmtId="0">
      <sharedItems containsString="0" containsBlank="1" containsNumber="1" containsInteger="1">
        <n v="1944.0"/>
        <n v="1969.0"/>
        <n v="1976.0"/>
        <n v="1982.0"/>
        <n v="1986.0"/>
        <n v="1997.0"/>
        <n v="1998.0"/>
        <n v="1999.0"/>
        <n v="1937.0"/>
        <n v="1949.0"/>
        <n v="2000.0"/>
        <n v="1836.0"/>
        <n v="1862.0"/>
        <n v="1890.0"/>
        <n v="1978.0"/>
        <n v="1980.0"/>
        <n v="2003.0"/>
        <n v="1844.0"/>
        <n v="1853.0"/>
        <n v="1856.0"/>
        <n v="1857.0"/>
        <n v="1865.0"/>
        <n v="1875.0"/>
        <n v="1881.0"/>
        <n v="1896.0"/>
        <n v="1930.0"/>
        <n v="1934.0"/>
        <n v="1943.0"/>
        <n v="1946.0"/>
        <n v="1975.0"/>
        <n v="1977.0"/>
        <n v="1984.0"/>
        <n v="1792.0"/>
        <n v="1928.0"/>
        <n v="1994.0"/>
        <n v="1996.0"/>
        <n v="1988.0"/>
        <n v="2005.0"/>
        <n v="1956.0"/>
        <n v="1970.0"/>
        <n v="1935.0"/>
        <n v="1971.0"/>
        <n v="2001.0"/>
        <n v="2007.0"/>
        <n v="1866.0"/>
        <n v="1939.0"/>
        <n v="1979.0"/>
        <n v="1991.0"/>
        <n v="1321.0"/>
        <n v="1532.0"/>
        <n v="1989.0"/>
        <n v="2008.0"/>
        <n v="2011.0"/>
        <n v="2010.0"/>
        <n v="2006.0"/>
        <n v="1818.0"/>
        <n v="2004.0"/>
        <n v="1985.0"/>
        <n v="1995.0"/>
        <n v="2009.0"/>
        <n v="1958.0"/>
        <n v="1968.0"/>
        <n v="1800.0"/>
        <n v="1912.0"/>
        <n v="1855.0"/>
        <n v="2013.0"/>
        <n v="1948.0"/>
        <n v="1830.0"/>
        <n v="1915.0"/>
        <n v="1966.0"/>
        <n v="1990.0"/>
        <n v="2002.0"/>
        <n v="2014.0"/>
        <n v="1876.0"/>
        <n v="1842.0"/>
        <n v="2017.0"/>
        <n v="1940.0"/>
        <n v="1945.0"/>
        <n v="1962.0"/>
        <n v="1973.0"/>
        <n v="2016.0"/>
        <n v="2018.0"/>
        <n v="1992.0"/>
        <n v="1894.0"/>
        <n v="1954.0"/>
        <n v="1965.0"/>
        <n v="2019.0"/>
        <n v="2015.0"/>
        <n v="2020.0"/>
        <n v="2012.0"/>
        <n v="1595.0"/>
        <n v="1790.0"/>
        <n v="1882.0"/>
        <n v="1895.0"/>
        <n v="1952.0"/>
        <n v="1955.0"/>
        <n v="1874.0"/>
        <n v="1887.0"/>
        <n v="1892.0"/>
        <n v="2021.0"/>
        <n v="1974.0"/>
        <n v="1960.0"/>
        <n v="2022.0"/>
        <n v="1774.0"/>
        <n v="1987.0"/>
        <n v="2023.0"/>
        <n v="1898.0"/>
        <n v="1936.0"/>
        <n v="2024.0"/>
        <n v="1859.0"/>
        <n v="1953.0"/>
        <n v="2025.0"/>
        <n v="1967.0"/>
        <n v="1920.0"/>
        <n v="2026.0"/>
        <n v="1929.0"/>
        <m/>
      </sharedItems>
    </cacheField>
    <cacheField name="Dia" numFmtId="0">
      <sharedItems containsString="0" containsBlank="1" containsNumber="1" containsInteger="1">
        <m/>
        <n v="15.0"/>
        <n v="11.0"/>
        <n v="25.0"/>
        <n v="14.0"/>
        <n v="16.0"/>
        <n v="26.0"/>
        <n v="17.0"/>
        <n v="23.0"/>
        <n v="8.0"/>
        <n v="20.0"/>
        <n v="28.0"/>
        <n v="9.0"/>
        <n v="2.0"/>
        <n v="21.0"/>
        <n v="5.0"/>
        <n v="18.0"/>
        <n v="12.0"/>
        <n v="3.0"/>
        <n v="6.0"/>
        <n v="31.0"/>
        <n v="22.0"/>
        <n v="4.0"/>
        <n v="10.0"/>
        <n v="1.0"/>
        <n v="30.0"/>
        <n v="19.0"/>
        <n v="29.0"/>
        <n v="27.0"/>
        <n v="7.0"/>
        <n v="24.0"/>
        <n v="13.0"/>
      </sharedItems>
    </cacheField>
    <cacheField name="Mês" numFmtId="0">
      <sharedItems containsString="0" containsBlank="1" containsNumber="1" containsInteger="1">
        <m/>
        <n v="6.0"/>
        <n v="11.0"/>
        <n v="12.0"/>
        <n v="4.0"/>
        <n v="5.0"/>
        <n v="7.0"/>
        <n v="8.0"/>
        <n v="2.0"/>
        <n v="3.0"/>
        <n v="1.0"/>
        <n v="10.0"/>
        <n v="9.0"/>
        <n v="18.0"/>
        <n v="26.0"/>
      </sharedItems>
    </cacheField>
    <cacheField name="Ano_leitura" numFmtId="0">
      <sharedItems containsString="0" containsBlank="1" containsNumber="1" containsInteger="1">
        <n v="1999.0"/>
        <n v="2000.0"/>
        <n v="2001.0"/>
        <n v="2002.0"/>
        <n v="2003.0"/>
        <n v="2004.0"/>
        <n v="2005.0"/>
        <n v="2006.0"/>
        <n v="2007.0"/>
        <n v="2008.0"/>
        <n v="2009.0"/>
        <n v="2010.0"/>
        <n v="2011.0"/>
        <n v="2012.0"/>
        <n v="2013.0"/>
        <n v="2014.0"/>
        <n v="2015.0"/>
        <n v="2016.0"/>
        <n v="2017.0"/>
        <n v="2018.0"/>
        <n v="2019.0"/>
        <n v="2020.0"/>
        <n v="2021.0"/>
        <n v="2022.0"/>
        <n v="2023.0"/>
        <n v="2024.0"/>
        <n v="2025.0"/>
        <n v="2026.0"/>
        <m/>
      </sharedItems>
    </cacheField>
    <cacheField name="Origem" numFmtId="0">
      <sharedItems containsBlank="1">
        <s v="Ensino Fundamental"/>
        <s v="Tenho"/>
        <s v="Emprestado"/>
        <s v="Ensino Médio"/>
        <s v="Castelinho"/>
        <s v="Pré-Vestibular"/>
        <s v="CCAUFES"/>
        <s v="E-book"/>
        <s v="KNN"/>
        <s v="Frei José Oseas"/>
        <m/>
      </sharedItems>
    </cacheField>
    <cacheField name="Formato" numFmtId="0">
      <sharedItems containsBlank="1">
        <s v="Livro"/>
        <s v="HQ"/>
        <m/>
      </sharedItems>
    </cacheField>
    <cacheField name="Gênero" numFmtId="0">
      <sharedItems containsBlank="1">
        <s v="Romance"/>
        <s v="Infantil"/>
        <s v="Biografia"/>
        <s v="Poesia"/>
        <s v="Contos"/>
        <s v="Drama"/>
        <s v="Épico-Poético"/>
        <s v="Crônica"/>
        <s v="Manual"/>
        <s v="Auto-ajuda"/>
        <s v="Científico"/>
        <s v="Fotografia"/>
        <s v="Literatura de Cordel"/>
        <s v="HQ"/>
        <s v="Tratado"/>
        <s v="Entrevista"/>
        <s v="Ensaio"/>
        <s v="Epistolar"/>
        <m/>
      </sharedItems>
    </cacheField>
    <cacheField name="Subgênero" numFmtId="0">
      <sharedItems containsBlank="1">
        <s v="Infantojuvenil"/>
        <s v="Autobiografia"/>
        <s v="Fantasia"/>
        <s v="Humor"/>
        <s v="Romantismo"/>
        <s v="Naturalismo"/>
        <s v="Terror"/>
        <s v="Policial/Thriller"/>
        <s v="Realismo"/>
        <s v="Modernismo"/>
        <s v="Arcadismo"/>
        <s v="Romance Histórico"/>
        <s v="Biografia"/>
        <s v="Contemporâneo"/>
        <s v="Épico"/>
        <s v="Iluminismo"/>
        <s v="Teologia"/>
        <s v="História"/>
        <s v="Fotografia"/>
        <s v="Astronomia"/>
        <s v="Psicologia"/>
        <s v="Realismo Fantástico"/>
        <s v="Simbolismo"/>
        <s v="Pseudo-ciência"/>
        <s v="Mitologia"/>
        <s v="Colonialismo"/>
        <s v="Metalinguistico"/>
        <s v="Faroeste"/>
        <s v="Pós-Colonial"/>
        <s v="Guerra"/>
        <s v="Auto-ajuda"/>
        <s v="Gótico Sulista"/>
        <s v="Road Trip"/>
        <s v="Biologia"/>
        <s v="Renascimento"/>
        <s v="Filosofia"/>
        <s v="Entrevista"/>
        <s v="Social"/>
        <s v="Literário"/>
        <s v="Auto-ficção"/>
        <s v="Comédia Romântica"/>
        <s v="Gótico"/>
        <s v="Regionalismo"/>
        <s v="Ficção Científica"/>
        <s v="Ilustração"/>
        <s v="Infantil"/>
        <s v="Africapolitano"/>
        <s v="Autoficção"/>
        <s v="Poesia social"/>
        <s v="Gótico latino"/>
        <s v="Ficção Histórica"/>
        <s v="Publicidade"/>
        <s v="Ensaio filosófico"/>
        <m/>
      </sharedItems>
    </cacheField>
    <cacheField name="Tempo" numFmtId="0">
      <sharedItems containsBlank="1">
        <s v="Era Vargas"/>
        <s v="N/A"/>
        <s v="Ditadura Militar"/>
        <s v="Nova República"/>
        <s v="Contemporâneo"/>
        <s v="3ª Era"/>
        <s v="Império do Brasil"/>
        <s v="Guerras Liberais"/>
        <s v="Primeira República"/>
        <s v="Revolução Americana"/>
        <s v="Idade Média"/>
        <s v="Segundo Reinado"/>
        <s v="Período Colonial"/>
        <s v="Confederação do Equador"/>
        <s v="Era Arthuriana"/>
        <s v="Novo Império"/>
        <s v="Quinta República"/>
        <s v="Expansão para oeste"/>
        <s v="Guerra dos Cem Anos"/>
        <s v="Sengoku-Jidai"/>
        <s v="Guerra do Vietnã"/>
        <s v="Império Austro-Húngaro"/>
        <s v="Rússia Czarista"/>
        <s v="Terceira República Francesa"/>
        <s v="Império Romano"/>
        <s v="República do Afeganistão"/>
        <s v="Segunda Guerra Mundial"/>
        <s v="Renascença"/>
        <s v="Segundo Império Francês"/>
        <s v="Aggiornamento"/>
        <s v="1ª, 2ª, 3ª Era"/>
        <s v="Era Georgiana"/>
        <s v="Guerra dos Mil Dias"/>
        <s v="Gênesis"/>
        <s v="Pré-Homérico"/>
        <s v="Era Vitoriana"/>
        <s v="Vários"/>
        <s v="Dinastia Plantageneta"/>
        <s v="Era Tudor"/>
        <s v="Reino da Itália"/>
        <s v="A Anarquia"/>
        <s v="Raj Britânico"/>
        <s v="Período Clássico"/>
        <s v="Inquisição"/>
        <s v="Espaço"/>
        <s v="Monarquia de Julho"/>
        <s v="Índias Orientais Holandesas"/>
        <s v="Século XX"/>
        <s v="Invasões Vikings"/>
        <s v="Século -VI"/>
        <s v="Covid 19"/>
        <s v="Risorgimento"/>
        <s v="Primeira Guerra Mundial"/>
        <s v="República da China"/>
        <s v="Era Showa"/>
        <s v="Pós-Guerra Civil espanhola"/>
        <s v="Entre Guerras"/>
        <s v="Trinta Anos Gloriosos"/>
        <s v="Guerra Civil espanhola"/>
        <s v="Império Otomano"/>
        <s v="Contracultura"/>
        <s v="Grande Depressão"/>
        <s v="Etapa Radical"/>
        <s v="Pós-Independência"/>
        <s v="Guerra Fria"/>
        <s v="Anos de Chumbo"/>
        <s v="Hollywood Clássica"/>
        <s v="Alemanha Reunificada"/>
        <s v="Democracia"/>
        <s v="Ditadura Pinochet"/>
        <s v="Segundo Reich"/>
        <s v="Era Reagan"/>
        <s v="Salazarismo"/>
        <s v="URSS"/>
        <s v="Apartheid"/>
        <s v="Alemanha Dividida"/>
        <s v="Primavera Árabe"/>
        <s v="República Popular"/>
        <s v="Golpe Militar"/>
        <s v="México Pós-Revolução"/>
        <s v="Franquismo"/>
        <s v="Revolta dos Mau Mau"/>
        <s v="Neobatllismo"/>
        <s v="Pérsia Medieval"/>
        <s v="Tratado da Antártica"/>
        <s v="Governo de Transição"/>
        <s v="Sacro Império Romano-Germânico"/>
        <s v="Revolução de Zanzibar"/>
        <s v="Pós-Franquismo"/>
        <s v="Terceiro Reich"/>
        <s v="Grande Fome"/>
        <s v="Pós-pandemia"/>
        <s v="Revolução Mahdista"/>
        <s v="Grandes Naveagações"/>
        <s v="Indochina franncesa"/>
        <s v="Regime Totalitário Kim"/>
        <s v="Guerra Mexicano-Americana"/>
        <s v="Estado de Compromisso"/>
        <s v="Pós-Guerra"/>
        <s v="Revolução Iraniana"/>
        <s v="Ditadura Chavista"/>
        <s v="Pós-Colonialismo"/>
        <s v="Belle Époque"/>
        <s v="Século XIX"/>
        <s v="Guerra Cilvil Americana"/>
        <m/>
      </sharedItems>
    </cacheField>
    <cacheField name="Ano.H" numFmtId="0">
      <sharedItems containsString="0" containsBlank="1" containsNumber="1" containsInteger="1">
        <n v="1944.0"/>
        <n v="1969.0"/>
        <n v="1976.0"/>
        <n v="1982.0"/>
        <n v="1986.0"/>
        <n v="1991.0"/>
        <n v="1997.0"/>
        <n v="1992.0"/>
        <n v="1999.0"/>
        <n v="2941.0"/>
        <n v="3018.0"/>
        <n v="2000.0"/>
        <n v="1836.0"/>
        <n v="1830.0"/>
        <n v="1890.0"/>
        <n v="1791.0"/>
        <n v="1978.0"/>
        <n v="1327.0"/>
        <n v="2003.0"/>
        <n v="1844.0"/>
        <n v="1853.0"/>
        <n v="1856.0"/>
        <n v="1857.0"/>
        <n v="1862.0"/>
        <n v="1600.0"/>
        <n v="1875.0"/>
        <n v="1881.0"/>
        <n v="1896.0"/>
        <n v="1930.0"/>
        <n v="1934.0"/>
        <n v="1943.0"/>
        <n v="1900.0"/>
        <n v="1975.0"/>
        <n v="1977.0"/>
        <n v="1825.0"/>
        <n v="1792.0"/>
        <n v="1928.0"/>
        <n v="539.0"/>
        <n v="1994.0"/>
        <n v="1996.0"/>
        <n v="-1350.0"/>
        <n v="2005.0"/>
        <n v="1956.0"/>
        <n v="1337.0"/>
        <n v="1971.0"/>
        <n v="1998.0"/>
        <n v="2001.0"/>
        <n v="2007.0"/>
        <n v="1911.0"/>
        <n v="1866.0"/>
        <n v="1939.0"/>
        <n v="1979.0"/>
        <n v="33.0"/>
        <n v="1250.0"/>
        <n v="1945.0"/>
        <n v="1300.0"/>
        <n v="1513.0"/>
        <n v="1989.0"/>
        <n v="2008.0"/>
        <n v="2010.0"/>
        <n v="1962.0"/>
        <n v="-590.0"/>
        <n v="1984.0"/>
        <n v="1450.0"/>
        <n v="2006.0"/>
        <n v="1990.0"/>
        <n v="1818.0"/>
        <n v="2011.0"/>
        <n v="1808.0"/>
        <n v="1970.0"/>
        <n v="472.0"/>
        <n v="1995.0"/>
        <n v="297.0"/>
        <n v="299.0"/>
        <n v="-1900.0"/>
        <n v="2009.0"/>
        <n v="2012.0"/>
        <n v="-2000.0"/>
        <n v="300.0"/>
        <n v="1920.0"/>
        <n v="1150.0"/>
        <n v="1476.0"/>
        <n v="2013.0"/>
        <n v="1587.0"/>
        <n v="550.0"/>
        <n v="1948.0"/>
        <n v="301.0"/>
        <n v="2014.0"/>
        <n v="-500.0"/>
        <n v="1233.0"/>
        <n v="1849.0"/>
        <n v="2016.0"/>
        <n v="1966.0"/>
        <n v="1965.0"/>
        <n v="850.0"/>
        <n v="-560.0"/>
        <n v="2020.0"/>
        <n v="1840.0"/>
        <n v="1861.0"/>
        <n v="1912.0"/>
        <n v="1949.0"/>
        <n v="1850.0"/>
        <n v="1940.0"/>
        <n v="2017.0"/>
        <n v="2002.0"/>
        <n v="1955.0"/>
        <n v="1845.0"/>
        <n v="1985.0"/>
        <n v="2018.0"/>
        <n v="2019.0"/>
        <n v="1935.0"/>
        <n v="1894.0"/>
        <n v="1927.0"/>
        <n v="1941.0"/>
        <n v="1973.0"/>
        <n v="2004.0"/>
        <n v="1960.0"/>
        <n v="1950.0"/>
        <n v="1916.0"/>
        <n v="1988.0"/>
        <n v="1937.0"/>
        <n v="1987.0"/>
        <n v="1980.0"/>
        <n v="1790.0"/>
        <n v="1865.0"/>
        <n v="1882.0"/>
        <n v="1888.0"/>
        <n v="1874.0"/>
        <n v="1938.0"/>
        <n v="1925.0"/>
        <n v="1887.0"/>
        <n v="1967.0"/>
        <n v="1954.0"/>
        <n v="1892.0"/>
        <n v="2021.0"/>
        <n v="1952.0"/>
        <n v="2015.0"/>
        <n v="1072.0"/>
        <n v="2022.0"/>
        <n v="1750.0"/>
        <n v="1774.0"/>
        <n v="1694.0"/>
        <n v="2100.0"/>
        <n v="2023.0"/>
        <n v="1933.0"/>
        <n v="1898.0"/>
        <n v="1870.0"/>
        <n v="1880.0"/>
        <n v="2024.0"/>
        <n v="1885.0"/>
        <n v="1859.0"/>
        <n v="1929.0"/>
        <n v="1572.0"/>
        <n v="2025.0"/>
        <n v="1846.0"/>
        <n v="1749.0"/>
        <n v="2026.0"/>
        <n v="1883.0"/>
        <n v="1961.0"/>
        <n v="1921.0"/>
        <n v="1903.0"/>
        <n v="1863.0"/>
        <n v="1860.0"/>
        <m/>
      </sharedItems>
    </cacheField>
    <cacheField name="Mes.H" numFmtId="0">
      <sharedItems containsString="0" containsBlank="1" containsNumber="1" containsInteger="1">
        <m/>
        <n v="1.0"/>
        <n v="5.0"/>
        <n v="4.0"/>
        <n v="10.0"/>
        <n v="9.0"/>
        <n v="12.0"/>
        <n v="6.0"/>
        <n v="3.0"/>
        <n v="7.0"/>
        <n v="8.0"/>
        <n v="11.0"/>
        <n v="2.0"/>
      </sharedItems>
    </cacheField>
    <cacheField name="Dia.H" numFmtId="0">
      <sharedItems containsString="0" containsBlank="1" containsNumber="1" containsInteger="1">
        <m/>
        <n v="27.0"/>
        <n v="11.0"/>
        <n v="30.0"/>
        <n v="3.0"/>
        <n v="26.0"/>
        <n v="15.0"/>
        <n v="13.0"/>
        <n v="12.0"/>
        <n v="10.0"/>
        <n v="21.0"/>
        <n v="25.0"/>
        <n v="7.0"/>
        <n v="16.0"/>
        <n v="17.0"/>
        <n v="31.0"/>
      </sharedItems>
    </cacheField>
    <cacheField name="Origem.local" numFmtId="0">
      <sharedItems containsBlank="1">
        <s v="Terra"/>
        <s v="Fantasia"/>
        <s v="Vários"/>
        <s v="Espaço"/>
        <m/>
      </sharedItems>
    </cacheField>
    <cacheField name="Continente.H" numFmtId="0">
      <sharedItems containsBlank="1">
        <s v="América"/>
        <s v="Fantasia"/>
        <s v="Europa"/>
        <s v="África"/>
        <s v="Ásia"/>
        <s v="Vários"/>
        <s v="Espaço"/>
        <s v="Oceania"/>
        <s v="Antártica"/>
        <m/>
      </sharedItems>
    </cacheField>
    <cacheField name="País.H" numFmtId="0">
      <sharedItems containsBlank="1">
        <s v="Brasil"/>
        <s v="Imaginação"/>
        <s v="Escócia"/>
        <s v="Arda"/>
        <s v="Portugal"/>
        <s v="USA"/>
        <s v="Darkover"/>
        <s v="Itália"/>
        <s v="Inglaterra"/>
        <s v="Egito"/>
        <s v="França"/>
        <s v="Nárnia"/>
        <s v="Japão"/>
        <s v="República Tcheca"/>
        <s v="Rússia"/>
        <s v="Palestina"/>
        <s v="Alfeganistão"/>
        <s v="Inferno"/>
        <s v="Djelibeybi"/>
        <s v="Vários"/>
        <s v="Vaticano"/>
        <s v="México"/>
        <s v="Fantasia"/>
        <s v="Espaço"/>
        <s v="Colômbia"/>
        <s v="Noruega"/>
        <s v="Westeros"/>
        <s v="Sodoma e Gomorra"/>
        <s v="Grécia"/>
        <s v="Índia"/>
        <s v="Indonésia"/>
        <s v="Discworld"/>
        <s v="Irlanda"/>
        <s v="Espanha"/>
        <s v="Turquia"/>
        <s v="Camorr"/>
        <s v="China"/>
        <s v="País de Gales"/>
        <s v="Nigéria"/>
        <s v="Suíça"/>
        <s v="Bélgica"/>
        <s v="Bielorussia"/>
        <s v="Temerant"/>
        <s v="Arábia Saudita"/>
        <s v="Argentina"/>
        <s v="Sudão"/>
        <s v="Uruguai"/>
        <s v="Austrália"/>
        <s v="Alemanha"/>
        <s v="Coréia do Sul"/>
        <s v="Áustria"/>
        <s v="Chile"/>
        <s v="País das Maravilhas"/>
        <s v="Gana"/>
        <s v="África do Sul"/>
        <s v="Quênia"/>
        <s v="Síria"/>
        <s v="República do Congo"/>
        <s v="Moçambique"/>
        <s v="Haiti"/>
        <s v="Iêmen"/>
        <s v="Irã"/>
        <s v="Antártica"/>
        <s v="Tanzania"/>
        <s v="Israel"/>
        <s v="Nova Zelândia"/>
        <s v="Dinamarca"/>
        <s v="Paquistão"/>
        <s v="Vietnã"/>
        <s v="Equador"/>
        <s v="Olinka"/>
        <s v="Polônia"/>
        <s v="Coréia do Norte"/>
        <s v="Suécia"/>
        <s v="Venezuela"/>
        <s v="Dominica"/>
        <s v="Romênia"/>
        <m/>
      </sharedItems>
    </cacheField>
    <cacheField name="Local" numFmtId="0">
      <sharedItems containsBlank="1">
        <s v="São Paulo"/>
        <s v="Imaginação"/>
        <s v="Brasil"/>
        <s v="Escócia"/>
        <s v="Vários"/>
        <s v="Terra Média"/>
        <s v="Rio de Janeiro"/>
        <s v="Porto"/>
        <s v="Louisiana"/>
        <s v="Darkover"/>
        <s v="Lazio"/>
        <s v="Ceará"/>
        <s v="Minas Geraes"/>
        <s v="Alagoas"/>
        <s v="Pernambuco"/>
        <s v="Glastonburry"/>
        <s v="Rio Grande do Sul"/>
        <s v="Tell el-Amarna"/>
        <s v="Paris"/>
        <s v="Nárnia"/>
        <s v="USA"/>
        <s v="Dorset"/>
        <s v="Kyoto"/>
        <s v="Washington DC"/>
        <s v="Roma"/>
        <s v="Praga"/>
        <s v="São Petesburgo"/>
        <s v="Espírito Santo"/>
        <s v="Galileia"/>
        <s v="Cabul"/>
        <s v="Úmbria"/>
        <s v="Inferno"/>
        <s v="Florença"/>
        <s v="Djelibeybi"/>
        <s v="Washington"/>
        <s v="Normandia"/>
        <s v="Vaticano"/>
        <s v="Nova York"/>
        <s v="Hogwarts"/>
        <s v="Yucatán"/>
        <s v="N/A"/>
        <s v="Silésia"/>
        <s v="Espaço"/>
        <s v="Cartagena das Índias"/>
        <s v="Noruega"/>
        <s v="Portugal"/>
        <s v="Westeros"/>
        <s v="Texas"/>
        <s v="Nevada"/>
        <s v="Nova Jersey"/>
        <s v="Sodoma e Gomorra"/>
        <s v="Grécia"/>
        <s v="Londres"/>
        <s v="Rio Grande no Norte"/>
        <s v="Nottingham"/>
        <s v="Veneza"/>
        <s v="Kingsbridge"/>
        <s v="Nova Déli"/>
        <s v="Califórnia"/>
        <s v="Verrières"/>
        <s v="Samburan"/>
        <s v="Holy Wood"/>
        <s v="Genua"/>
        <s v="Dublin"/>
        <s v="Madri"/>
        <s v="Wessex"/>
        <s v="Missouri"/>
        <s v="Creta"/>
        <s v="Sicília"/>
        <s v="Massachusetts"/>
        <s v="Istambul"/>
        <s v="Camorr"/>
        <s v="Pequim"/>
        <s v="Rússia"/>
        <s v="Oregon"/>
        <s v="Cairnholm"/>
        <s v="Nairobi"/>
        <s v="Maine"/>
        <s v="Osaka"/>
        <s v="Catalunha"/>
        <s v="Yorkshire"/>
        <s v="Zurique"/>
        <s v="Antuérpia"/>
        <s v="Bielorussia"/>
        <s v="Delaware"/>
        <s v="Temerant"/>
        <s v="Georgia"/>
        <s v="Meca"/>
        <s v="Geórgia"/>
        <s v="Washington "/>
        <s v="Colorado"/>
        <s v="Fantasia"/>
        <s v="Ibolândia"/>
        <s v="Buenos Aires"/>
        <s v="Cartum"/>
        <s v="Ohio"/>
        <s v="Uruguai"/>
        <s v="Oxfodshire"/>
        <s v="Austrália"/>
        <s v="Abruzzo"/>
        <s v="França"/>
        <s v="Westerwald"/>
        <s v="Michigan"/>
        <s v="Flórida"/>
        <s v="Inglaterra"/>
        <s v="Gun-do"/>
        <s v="Maarastra"/>
        <s v="Viena"/>
        <s v="Lisboa"/>
        <s v="Sussex"/>
        <s v="New Jersey"/>
        <s v="Beaumont"/>
        <s v="Santiago"/>
        <s v="Atenas"/>
        <s v="Bath"/>
        <s v="País das Maravilhas"/>
        <s v="Prússia"/>
        <s v="Piemonte"/>
        <s v="Pontresina"/>
        <s v="Tókio"/>
        <s v="Acra"/>
        <s v="Joanesburgo"/>
        <s v="Blackheath"/>
        <s v="Ilha de Jeju"/>
        <s v="Nakuru"/>
        <s v="Lagos"/>
        <s v="Síria"/>
        <s v="Loango"/>
        <s v="Cidade do México"/>
        <s v="Pensilvânia"/>
        <s v="Fenlands"/>
        <s v="Rhode Island"/>
        <s v="Paraíba"/>
        <s v="Sofala"/>
        <s v="Bedfordshire"/>
        <s v="Kiambu"/>
        <s v="Glasgow"/>
        <s v="Montevidéu"/>
        <s v="Ville Rose"/>
        <s v="Áden"/>
        <s v="Tennessee"/>
        <s v="Mississipi"/>
        <s v="Rajastão"/>
        <s v="Samarcanda"/>
        <s v="Ilha Locket"/>
        <s v="Córdoba"/>
        <s v="Wahlheim"/>
        <s v="Zanzibar"/>
        <s v="Víirgnia"/>
        <s v="Nicósia"/>
        <s v="Biward"/>
        <s v="Bretanha"/>
        <s v="Jerusalém"/>
        <s v="North Carolina"/>
        <s v="Auckland"/>
        <s v="Groelândia"/>
        <s v="Tasmânia"/>
        <s v="Lahore"/>
        <s v="Cévennes"/>
        <s v="Santa Catarina"/>
        <s v="Porto Príncipe"/>
        <s v="Hánoi"/>
        <s v="Carolina do Norte"/>
        <s v="Liverpool"/>
        <s v="Idaho"/>
        <s v="Melborne"/>
        <s v="Ardenas"/>
        <s v="Galápagos"/>
        <s v="Distrito Federal"/>
        <s v="Oslo"/>
        <s v="Nápoles"/>
        <s v="Illinois"/>
        <s v="Olinka"/>
        <s v="Baleares"/>
        <s v="Maranhão"/>
        <s v="Emília-Romanha"/>
        <s v="Mata Grosso do Sul"/>
        <s v="Polônia"/>
        <s v="Saigon"/>
        <s v="Casa da Árvore"/>
        <s v="Green Gablkes"/>
        <s v="Coréia do Norte"/>
        <s v="Kentucky"/>
        <s v="Tamaulipas"/>
        <s v="Somme"/>
        <s v="Valparaíso"/>
        <s v="Mayotte"/>
        <s v="Baden-Württemberg"/>
        <s v="Oświęcim"/>
        <s v="Jämtland"/>
        <s v="Pará"/>
        <s v="Trolburgo"/>
        <s v="Toscana"/>
        <s v="Teerã"/>
        <s v="Gironda"/>
        <s v="Caracas"/>
        <s v="Berlim"/>
        <s v="São Jorge"/>
        <s v="Maryland"/>
        <s v="Transilvânia"/>
        <s v="Vila Caracol"/>
        <s v="Alabama"/>
        <m/>
      </sharedItems>
    </cacheField>
    <cacheField name="Cenário" numFmtId="0">
      <sharedItems containsBlank="1">
        <s v="Taubaté"/>
        <s v="Imaginação"/>
        <s v="Brasil"/>
        <s v="Bexiga"/>
        <s v="São Paulo"/>
        <s v="Hogwarts"/>
        <s v="Navio"/>
        <s v="Terra Média"/>
        <s v="Viagem"/>
        <s v="Rio de Janeiro"/>
        <s v="Porto"/>
        <s v="Botafogo"/>
        <s v="Nova Orleans"/>
        <s v="Fantasia Medieval"/>
        <s v="Lazio"/>
        <s v="Osasco"/>
        <s v="Ilha de Paquetá"/>
        <s v="Centro"/>
        <s v="Floresta"/>
        <s v="Santa Tereza"/>
        <s v="Ipú"/>
        <s v="Laranjeiras"/>
        <s v="Campos de Goytacazes"/>
        <s v="Itabira"/>
        <s v="Alagoas"/>
        <s v="Cinelândia"/>
        <s v="Pindaíbas"/>
        <s v="São Conrado"/>
        <s v="São Cristóvão"/>
        <s v="Recife"/>
        <s v="Ouro Preto"/>
        <s v="Vários"/>
        <s v="Avalon"/>
        <s v="Cidade"/>
        <s v="Bagé"/>
        <s v="Akhetaten"/>
        <s v="Louvre"/>
        <s v="Fantasia"/>
        <s v="Nação Syoux"/>
        <s v="Hookton"/>
        <s v="Kyoto"/>
        <s v="Colúmbia"/>
        <s v="Washington DC"/>
        <s v="Roma"/>
        <s v="Praga"/>
        <s v="São Petesburgo"/>
        <s v="Paris"/>
        <s v="Vitória"/>
        <s v="Galileia"/>
        <s v="Pádua"/>
        <s v="Reinos Celestiais"/>
        <s v="Florença"/>
        <s v="Reinado"/>
        <s v="Forks"/>
        <s v="Yonville-l'Abbaye"/>
        <s v="Vaticano"/>
        <s v="Nova York"/>
        <s v="Yucatán"/>
        <s v="Mosteiro"/>
        <s v="Tijuca"/>
        <s v="Silésia"/>
        <s v="Espaço"/>
        <s v="Cartagena das Índias"/>
        <s v="Noruega"/>
        <s v="Portugal"/>
        <s v="Feudo"/>
        <s v="San Antônio"/>
        <s v="Salinas"/>
        <s v="Long Island"/>
        <s v="Sodoma e Gomorra"/>
        <s v="Grécia"/>
        <s v="Londres"/>
        <s v="Rio Grande no Norte"/>
        <s v="Sherwood"/>
        <s v="Veneza"/>
        <s v="Kingsbridge"/>
        <s v="Nova Déli"/>
        <s v="Los Angeles"/>
        <s v="Nave Espacial"/>
        <s v="Verrières"/>
        <s v="Samburan"/>
        <s v="Lins de Vasconcelos"/>
        <s v="Holy Wood"/>
        <s v="Dublin"/>
        <s v="Madri"/>
        <s v="Notúmbria"/>
        <s v="Wigmore Hall"/>
        <s v="St. Petersburg"/>
        <s v="Heraclión"/>
        <s v="Palermo"/>
        <s v="N/A"/>
        <s v="USA"/>
        <s v="Massachusetts"/>
        <s v="Istambul"/>
        <s v="Rússia"/>
        <s v="Oregon"/>
        <s v="Escola"/>
        <s v="Nairobi"/>
        <s v="Maine"/>
        <s v="Ipanema"/>
        <s v="Osaka"/>
        <s v="L'Antiga Esquerra de l'Eixample"/>
        <s v="Brideshead"/>
        <s v="Zurique"/>
        <s v="Gràcia"/>
        <s v="Fortaleza"/>
        <s v="Antuérpia"/>
        <s v="Bielorussia"/>
        <s v="Wilmington"/>
        <s v="Hotel Chelsea"/>
        <s v="Georgia"/>
        <s v="Meca"/>
        <s v="Pikeville"/>
        <s v="Seattle"/>
        <s v="Denver"/>
        <s v="St. Louis"/>
        <s v="Christminster"/>
        <s v="Geórgia"/>
        <s v="Umuófia"/>
        <s v="Buenos Aires"/>
        <s v="Cartum"/>
        <s v="Lorain"/>
        <s v="Uruguai"/>
        <s v="Nova Jersey"/>
        <s v="Oxford"/>
        <s v="Rio Grande do Sul"/>
        <s v="Kiewarra"/>
        <s v="Abruzzo"/>
        <s v="Hollywood"/>
        <s v="França"/>
        <s v="Westerwald"/>
        <s v="Michigan"/>
        <s v="Atlanta"/>
        <s v="Key West"/>
        <s v="Inglaterra"/>
        <s v="Incheon"/>
        <s v="Bombaim"/>
        <s v="Viena"/>
        <s v="Lisboa"/>
        <s v="Sussex"/>
        <s v="Vila Madalena"/>
        <s v="New Jersey"/>
        <s v="Ilha de Beaumnt"/>
        <s v="Atenas"/>
        <s v="Bath"/>
        <s v="País das Maravilhas"/>
        <s v="Itaguaí"/>
        <s v="Berlim"/>
        <s v="Mentone"/>
        <s v="Pontresina"/>
        <s v="Tókio"/>
        <s v="Acra"/>
        <s v="Joanesburgo"/>
        <s v="Southall"/>
        <s v="Blackheath"/>
        <s v="Berlim Ocidental"/>
        <s v="Ilha de Jeju"/>
        <s v="Nakuru"/>
        <s v="Santa Lora"/>
        <s v="Woodview"/>
        <s v="São Francisco"/>
        <s v="Lagos"/>
        <s v="Flórida"/>
        <s v="Síria"/>
        <s v="Pointe-Noire"/>
        <s v="Coyoacán"/>
        <s v="Filadélfia"/>
        <s v="Medallion"/>
        <s v="Fenlands"/>
        <s v="Arkham"/>
        <s v="Newalk"/>
        <s v="Arpoador"/>
        <s v="Campina Grande"/>
        <s v="Barcelona"/>
        <s v="Clapham"/>
        <s v="Beira"/>
        <s v="Bedford"/>
        <s v="Limuru"/>
        <s v="Glasgow"/>
        <s v="Montevidéu"/>
        <s v="Tremembé"/>
        <s v="Brooklyn"/>
        <s v="Ville Rose"/>
        <s v="Áden"/>
        <s v="Casa"/>
        <s v="Jackson"/>
        <s v="Jaipur"/>
        <s v="Samarcanda"/>
        <s v="Ilha"/>
        <s v="Praça Sarmiento"/>
        <s v="Séforis"/>
        <s v="Ubiratã"/>
        <s v="Cidade do México"/>
        <s v="Beco do Urso"/>
        <s v="Greenwich"/>
        <s v="Wetzlar"/>
        <s v="Zanzibar"/>
        <s v="Prisão Lumpkin"/>
        <s v="Copacabana"/>
        <s v="Boston"/>
        <s v="Nicósia"/>
        <s v="Montanhas Catskill"/>
        <s v="Biward"/>
        <s v="Crozon"/>
        <s v="Jerusalém"/>
        <s v="Sunshine Falls"/>
        <s v="Detroid"/>
        <s v="Praia"/>
        <s v="Groelândia"/>
        <s v="Ilha de Flinders"/>
        <s v="Lahore"/>
        <s v="Sowel Bay"/>
        <s v="Chapecó"/>
        <s v="Memphis"/>
        <s v="Nelhio"/>
        <s v="Almofala"/>
        <s v="Hánoi"/>
        <s v="Bly"/>
        <s v="Carolina do Norte"/>
        <s v="Crosby"/>
        <s v="Porto Alegre"/>
        <s v="Harlem"/>
        <s v="Texas"/>
        <s v="Pierse"/>
        <s v="Chesil Beach"/>
        <s v="Copeton"/>
        <s v="Pomt d’Oye"/>
        <s v="Ilha Isabela"/>
        <s v="Pedra Redonda"/>
        <s v="Oslo"/>
        <s v="Nápoles"/>
        <s v="Chicago"/>
        <s v="Olinka"/>
        <s v="Ibiza"/>
        <s v="San Blas"/>
        <s v="Providence"/>
        <s v="Vale do Paraíba"/>
        <s v="Jasper"/>
        <s v="Guimarães"/>
        <s v="Modena"/>
        <s v="Serra Morena"/>
        <s v="Saint-Malo"/>
        <s v="Newport"/>
        <s v="Pantanal"/>
        <s v="Polônia"/>
        <s v="Califórnia"/>
        <s v="Saigon"/>
        <s v="Casa da Árvore"/>
        <s v="Vila"/>
        <s v="Vila/Cidade"/>
        <s v="Manhattam"/>
        <s v="Louisville"/>
        <s v="Haciendas"/>
        <s v="Amiens"/>
        <s v="Isla Negra"/>
        <s v="Montanhas Adirondack"/>
        <s v="Mamoudzou"/>
        <s v="Floresta Negra"/>
        <s v="Auschwitz"/>
        <s v="Hissmorfors"/>
        <s v="Plumpton"/>
        <s v="Colatina"/>
        <s v="Itabirinha"/>
        <s v="Altamira"/>
        <s v="Árvore"/>
        <s v="Six Rivers"/>
        <s v="Castelo"/>
        <s v="Domingo Martins"/>
        <s v="San Miniato Basso"/>
        <s v="Teerã"/>
        <s v="Celeiro"/>
        <s v="Bordeaux"/>
        <s v="João Pessoa"/>
        <s v="Caracas"/>
        <s v="Roseau"/>
        <s v="Cachambi"/>
        <s v="Annapolis"/>
        <s v="Yvetot"/>
        <s v="Timișoara"/>
        <s v="Lowndes County"/>
        <m/>
      </sharedItems>
    </cacheField>
    <cacheField name="Esfera" numFmtId="0">
      <sharedItems containsBlank="1">
        <s v="Vida"/>
        <s v="Mente"/>
        <s v="Vida/Mente"/>
        <s v="Matéria"/>
        <s v="Primórdio/Matéria"/>
        <s v="Primórdio/Correspondência"/>
        <s v="Tempo"/>
        <s v="Primórdio"/>
        <s v="Espírito"/>
        <s v="Matéria/Vida"/>
        <s v="Espírito/Mente"/>
        <s v="Mente/Entropi"/>
        <s v="Correspondência"/>
        <s v="Vida/Entropia"/>
        <s v="Forças"/>
        <s v="Mente/Entropia"/>
        <s v="Vida/Matéria"/>
        <s v="Mente/Forças"/>
        <s v="Correspondência/Forças"/>
        <s v="Tempo/Mente"/>
        <s v="Entropia/Vida"/>
        <s v="Tempo/Correspondência"/>
        <s v="Mente/Tempo"/>
        <s v="Mente/Primórdio"/>
        <s v="Primórdio/Mente"/>
        <s v="Correspondência/Entropia"/>
        <s v="Mente/Primórdio/Tempo"/>
        <s v="Entropia"/>
        <s v="Correspondência/Mente"/>
        <s v="Matéria/Correspondência"/>
        <s v="Vida/Primórdio"/>
        <s v="Matéria/Mente"/>
        <s v="Entropia/Mente"/>
        <s v="Tempo/Entropia"/>
        <s v="Entropia/Matéria"/>
        <s v="Matéria/Primórdio"/>
        <s v="Entropia/Correspondência"/>
        <s v="Entropia/Tempo"/>
        <s v="Correspondência/Vida"/>
        <s v="Tempo/Primórdio"/>
        <s v="Correspondência/Entropia/Mente"/>
        <s v="Matéria/Entropia"/>
        <s v="Mente/Vida"/>
        <s v="Entropia/Espírito"/>
        <s v="Vida/Correspodência"/>
        <m/>
      </sharedItems>
    </cacheField>
    <cacheField name="Cultura" numFmtId="0">
      <sharedItems containsBlank="1">
        <s v="Infância"/>
        <s v="Cores"/>
        <s v="Adolescência"/>
        <s v="Camponesa"/>
        <s v="Bruxaria"/>
        <s v="Doença"/>
        <s v="Fantasia Medieval"/>
        <s v="História"/>
        <s v="Amor"/>
        <s v="Pobreza"/>
        <s v="Imortalidade"/>
        <s v="Outros mundos"/>
        <s v="Assassinato"/>
        <s v="Sobrenatural"/>
        <s v="Indianismo"/>
        <s v="Escravidão"/>
        <s v="Fantasma"/>
        <s v="Subúrbio"/>
        <s v="Enriquecimento"/>
        <s v="Morte"/>
        <s v="Brasil"/>
        <s v="Sertanejo"/>
        <s v="Urbana"/>
        <s v="Antigo Egito"/>
        <s v="Arte"/>
        <s v="Contos de Fadas"/>
        <s v="Título"/>
        <s v="Samurai"/>
        <s v="Demônio"/>
        <s v="Tecnologia"/>
        <s v="Ciência"/>
        <s v="Crime"/>
        <s v="Existencialismo"/>
        <s v="Judiciário"/>
        <s v="Judaica"/>
        <s v="Guerra"/>
        <s v="Religiosa"/>
        <s v="Patriarcado"/>
        <s v="N/A"/>
        <s v="Máfia"/>
        <s v="Terra Média"/>
        <s v="Asteca"/>
        <s v="Filosofia"/>
        <s v="Distópico"/>
        <s v="Roubo"/>
        <s v="Zoologia"/>
        <s v="Mitologia"/>
        <s v="Renascença"/>
        <s v="Nobreza"/>
        <s v="Construção"/>
        <s v="Super-Heróis"/>
        <s v="Espaço"/>
        <s v="Sexo"/>
        <s v="Cinema"/>
        <s v="Escrita"/>
        <s v="Viking"/>
        <s v="Negra"/>
        <s v="Memória"/>
        <s v="Mudança"/>
        <s v="Atlântida"/>
        <s v="Ditadura"/>
        <s v="Contra-cultura"/>
        <s v="Ouro"/>
        <s v="Nigeriana"/>
        <s v="Solidão"/>
        <s v="Psicológico"/>
        <s v="Escola"/>
        <s v="Violência"/>
        <s v="Fuga"/>
        <s v="Islamismo"/>
        <s v="Loucura"/>
        <s v="Afro-americana"/>
        <s v="Sulista Americano"/>
        <s v="Igbo"/>
        <s v="Carnaval"/>
        <s v="Mentira"/>
        <s v="Viagem"/>
        <s v="Fogo"/>
        <s v="Espionagem"/>
        <s v="Premonição"/>
        <s v="Terceira Idade"/>
        <s v="Americana"/>
        <s v="Ecologia"/>
        <s v="Contemporânea"/>
        <s v="Greco-Romana"/>
        <s v="Inglesa"/>
        <s v="Nazifacista"/>
        <s v="Hippie"/>
        <s v="Japonesa"/>
        <s v="Portuquesa"/>
        <s v="Ganesa"/>
        <s v="Xhosa"/>
        <s v="Punjab"/>
        <s v="LGBT"/>
        <s v="Repetição"/>
        <s v="Haenyeou"/>
        <s v="Massai"/>
        <s v="Serrial Killer"/>
        <s v="Literatura"/>
        <s v="Música"/>
        <s v="Africana"/>
        <s v="Supremassista"/>
        <s v="Árabe"/>
        <s v="Congolesa"/>
        <s v="Turca"/>
        <s v="Mexicana"/>
        <s v="Drogas"/>
        <s v="Feminismo"/>
        <s v="Terror"/>
        <s v="Catalã"/>
        <s v="Queniana"/>
        <s v="Hospital"/>
        <s v="Latina"/>
        <s v="Penitenciária"/>
        <s v="Política"/>
        <s v="Persa"/>
        <s v="Travesti"/>
        <s v="Cristianismo"/>
        <s v="Maternidade"/>
        <s v="Alemã"/>
        <s v="Cipriota"/>
        <s v="Francesa"/>
        <s v="Indiana"/>
        <s v="Editorial"/>
        <s v="Surf"/>
        <s v="Naval"/>
        <s v="Paquistanesa"/>
        <s v="Litorânea"/>
        <s v="Sulista Brasileira"/>
        <s v="Ocidental"/>
        <s v="Vudu"/>
        <s v="Tremembé"/>
        <s v="Vientnamita"/>
        <s v="Vitoriana"/>
        <s v="Texana"/>
        <s v="Chinesa"/>
        <s v="Belga"/>
        <s v="Gaúcha"/>
        <s v="Nórdica"/>
        <s v="Italiana"/>
        <s v="Espanhola"/>
        <s v="Portoriquenha"/>
        <s v="Polonesa"/>
        <s v="Portuguesa"/>
        <s v="Brasileira"/>
        <s v="Chilena"/>
        <s v="Interior"/>
        <s v="Coreana"/>
        <s v="Blues"/>
        <s v="Ballet"/>
        <s v="Catolica"/>
        <s v="Acampamento"/>
        <s v="Suéca"/>
        <s v="Yudjá"/>
        <s v="Caribenha"/>
        <s v="Futebol"/>
        <s v="Navegação"/>
        <m/>
      </sharedItems>
    </cacheField>
    <cacheField name="Fantasia" numFmtId="0">
      <sharedItems containsBlank="1">
        <s v="N/A"/>
        <s v="Magia"/>
        <s v="Morte"/>
        <s v="Vampiro"/>
        <s v="Cristianismo"/>
        <s v="Fantasma"/>
        <s v="Mitologia Grega"/>
        <s v="Folclore"/>
        <s v="Monstro"/>
        <s v="Plantas"/>
        <s v="Cegueira"/>
        <s v="Mitologia"/>
        <s v="Alien"/>
        <s v="Hobbin Hood"/>
        <s v="Rei Arthur"/>
        <s v="Heróis"/>
        <s v="Incesto"/>
        <s v="Mitologia Nórdica"/>
        <s v="Início da Civilização"/>
        <s v="Trilho de Trem"/>
        <s v="Realidade alternativa"/>
        <s v="Egwugwu"/>
        <s v="País das Maravilhas"/>
        <s v="Sistema"/>
        <s v="Americana"/>
        <s v="Vida após a morte"/>
        <s v="Combustão expontânea"/>
        <s v="LGBT"/>
        <s v="Seita"/>
        <s v="Veneno"/>
        <s v="Sonhar"/>
        <s v="Extinção em massa"/>
        <s v="Animal"/>
        <s v="Encantados"/>
        <s v="Buba Yali"/>
        <s v="Viagem no tempo"/>
        <s v="Salácia"/>
        <s v="Mãe D’Água"/>
        <s v="Clássica"/>
        <s v="Vampiros"/>
        <s v="Catolicismo"/>
        <s v="Unicórnio"/>
        <s v="Espírito"/>
        <s v="Dragão"/>
        <s v="Multiverso"/>
        <s v="Duendes"/>
        <s v="Gêmeos"/>
        <s v="Pós-apocaliptico"/>
        <s v="Sereias"/>
        <m/>
      </sharedItems>
    </cacheField>
    <cacheField name="Coleção" numFmtId="0">
      <sharedItems containsBlank="1">
        <s v="Coleção Vaga-Lume"/>
        <s v="N/A"/>
        <s v="Harry Potter"/>
        <s v="Terra Média"/>
        <s v="Crônicas Arturianas"/>
        <s v="Robert Langdon"/>
        <s v="A Busca do Graal"/>
        <s v="Discworld"/>
        <s v="Crepúsculo"/>
        <s v="As Crônicas de Gelo e Fogo"/>
        <s v="Percy Jackson e os Olimpianos"/>
        <s v="Crônicas do Fora da Lei"/>
        <s v="Assassin's Creed"/>
        <s v="As Crônicas de Artur"/>
        <s v="TAG"/>
        <s v="Crônicas Saxônicas"/>
        <s v="Os Nobres Vigaristas"/>
        <s v="Vozes Negras"/>
        <s v="Crônicas do Matador do Rei"/>
        <s v="Casa na Árvore"/>
        <s v="Diário de um Banana"/>
        <s v="As Aventuras de Mike"/>
        <s v="Happy Books"/>
        <s v="Vidas em Cordel"/>
        <s v="Hildafolk"/>
        <s v="Leiturinha"/>
        <s v="Pinóquio"/>
        <s v="Bicho Esperto"/>
        <m/>
      </sharedItems>
    </cacheField>
    <cacheField name="Idioma" numFmtId="0">
      <sharedItems containsBlank="1">
        <s v="Português"/>
        <s v="Inglês"/>
        <s v="Espanhol"/>
        <m/>
      </sharedItems>
    </cacheField>
    <cacheField name="Enredo/Escrita" numFmtId="0">
      <sharedItems containsString="0" containsBlank="1" containsNumber="1" containsInteger="1">
        <n v="7.0"/>
        <n v="3.0"/>
        <n v="4.0"/>
        <n v="9.0"/>
        <n v="6.0"/>
        <n v="5.0"/>
        <n v="8.0"/>
        <n v="10.0"/>
        <n v="0.0"/>
        <n v="2.0"/>
        <m/>
      </sharedItems>
    </cacheField>
    <cacheField name="Personagens/Personas" numFmtId="0">
      <sharedItems containsString="0" containsBlank="1" containsNumber="1">
        <n v="7.0"/>
        <n v="3.0"/>
        <n v="5.0"/>
        <n v="8.0"/>
        <n v="9.0"/>
        <n v="4.0"/>
        <n v="10.0"/>
        <n v="6.0"/>
        <n v="0.0"/>
        <n v="8.5"/>
        <n v="1.0"/>
        <n v="9.25"/>
        <n v="2.0"/>
        <m/>
      </sharedItems>
    </cacheField>
    <cacheField name="Final/Nota" numFmtId="0">
      <sharedItems containsString="0" containsBlank="1" containsNumber="1">
        <n v="5.0"/>
        <n v="3.0"/>
        <n v="7.0"/>
        <n v="9.0"/>
        <n v="4.0"/>
        <n v="10.0"/>
        <n v="6.0"/>
        <n v="8.0"/>
        <m/>
        <n v="0.0"/>
        <n v="2.0"/>
        <n v="9.25"/>
      </sharedItems>
    </cacheField>
    <cacheField name="Somatório" numFmtId="0">
      <sharedItems containsString="0" containsBlank="1" containsNumber="1">
        <n v="19.0"/>
        <n v="9.0"/>
        <n v="17.0"/>
        <n v="14.0"/>
        <n v="22.0"/>
        <n v="27.0"/>
        <n v="20.0"/>
        <n v="11.0"/>
        <n v="28.0"/>
        <n v="29.0"/>
        <n v="15.0"/>
        <n v="18.0"/>
        <n v="24.0"/>
        <n v="21.0"/>
        <n v="26.0"/>
        <n v="16.0"/>
        <n v="25.0"/>
        <n v="12.0"/>
        <n v="23.0"/>
        <n v="13.0"/>
        <n v="30.0"/>
        <n v="0.0"/>
        <n v="25.5"/>
        <n v="23.5"/>
        <n v="5.0"/>
        <n v="29.25"/>
        <n v="19.25"/>
        <m/>
      </sharedItems>
    </cacheField>
    <cacheField name="Leitura" numFmtId="0">
      <sharedItems containsString="0" containsBlank="1" containsNumber="1" containsInteger="1">
        <n v="1.0"/>
        <n v="2.0"/>
        <m/>
      </sharedItems>
    </cacheField>
    <cacheField name="Páginas" numFmtId="0">
      <sharedItems containsString="0" containsBlank="1" containsNumber="1" containsInteger="1">
        <n v="128.0"/>
        <n v="48.0"/>
        <n v="64.0"/>
        <n v="111.0"/>
        <n v="224.0"/>
        <n v="279.0"/>
        <n v="252.0"/>
        <n v="394.0"/>
        <n v="297.0"/>
        <n v="1202.0"/>
        <n v="584.0"/>
        <n v="125.0"/>
        <n v="438.0"/>
        <n v="152.0"/>
        <n v="194.0"/>
        <n v="309.0"/>
        <n v="384.0"/>
        <n v="518.0"/>
        <n v="379.0"/>
        <n v="704.0"/>
        <n v="198.0"/>
        <n v="232.0"/>
        <n v="320.0"/>
        <n v="127.0"/>
        <n v="91.0"/>
        <n v="190.0"/>
        <n v="132.0"/>
        <n v="281.0"/>
        <n v="156.0"/>
        <n v="219.0"/>
        <n v="67.0"/>
        <n v="52.0"/>
        <n v="110.0"/>
        <n v="88.0"/>
        <n v="112.0"/>
        <n v="175.0"/>
        <n v="262.0"/>
        <n v="284.0"/>
        <n v="298.0"/>
        <n v="314.0"/>
        <n v="326.0"/>
        <n v="80.0"/>
        <n v="472.0"/>
        <n v="432.0"/>
        <n v="512.0"/>
        <n v="753.0"/>
        <n v="292.0"/>
        <n v="444.0"/>
        <n v="887.0"/>
        <n v="321.0"/>
        <n v="336.0"/>
        <n v="464.0"/>
        <n v="448.0"/>
        <n v="592.0"/>
        <n v="696.0"/>
        <n v="368.0"/>
        <n v="388.0"/>
        <n v="226.0"/>
        <n v="216.0"/>
        <n v="445.0"/>
        <n v="365.0"/>
        <n v="352.0"/>
        <n v="894.0"/>
        <n v="149.0"/>
        <n v="567.0"/>
        <n v="366.0"/>
        <n v="160.0"/>
        <n v="272.0"/>
        <n v="461.0"/>
        <n v="470.0"/>
        <n v="53.0"/>
        <n v="367.0"/>
        <n v="328.0"/>
        <n v="392.0"/>
        <n v="221.0"/>
        <n v="223.0"/>
        <n v="256.0"/>
        <n v="106.0"/>
        <n v="210.0"/>
        <n v="265.0"/>
        <n v="560.0"/>
        <n v="312.0"/>
        <n v="656.0"/>
        <n v="362.0"/>
        <n v="400.0"/>
        <n v="340.0"/>
        <n v="172.0"/>
        <n v="496.0"/>
        <n v="120.0"/>
        <n v="273.0"/>
        <n v="884.0"/>
        <n v="304.0"/>
        <n v="586.0"/>
        <n v="12.0"/>
        <n v="378.0"/>
        <n v="335.0"/>
        <n v="257.0"/>
        <n v="227.0"/>
        <n v="170.0"/>
        <n v="941.0"/>
        <n v="546.0"/>
        <n v="532.0"/>
        <n v="287.0"/>
        <n v="644.0"/>
        <n v="504.0"/>
        <n v="872.0"/>
        <n v="316.0"/>
        <n v="344.0"/>
        <n v="296.0"/>
        <n v="234.0"/>
        <n v="544.0"/>
        <n v="347.0"/>
        <n v="301.0"/>
        <n v="288.0"/>
        <n v="176.0"/>
        <n v="364.0"/>
        <n v="354.0"/>
        <n v="350.0"/>
        <n v="105.0"/>
        <n v="208.0"/>
        <n v="200.0"/>
        <n v="28.0"/>
        <n v="576.0"/>
        <n v="440.0"/>
        <n v="377.0"/>
        <n v="240.0"/>
        <n v="246.0"/>
        <n v="280.0"/>
        <n v="390.0"/>
        <n v="736.0"/>
        <n v="480.0"/>
        <n v="126.0"/>
        <n v="380.0"/>
        <n v="412.0"/>
        <n v="528.0"/>
        <n v="315.0"/>
        <n v="317.0"/>
        <n v="248.0"/>
        <n v="491.0"/>
        <n v="376.0"/>
        <n v="222.0"/>
        <n v="789.0"/>
        <n v="124.0"/>
        <n v="79.0"/>
        <n v="96.0"/>
        <n v="327.0"/>
        <n v="960.0"/>
        <n v="398.0"/>
        <n v="596.0"/>
        <n v="334.0"/>
        <n v="382.0"/>
        <n v="161.0"/>
        <n v="191.0"/>
        <n v="408.0"/>
        <n v="159.0"/>
        <n v="192.0"/>
        <n v="416.0"/>
        <n v="269.0"/>
        <n v="199.0"/>
        <n v="349.0"/>
        <n v="142.0"/>
        <n v="179.0"/>
        <n v="245.0"/>
        <n v="351.0"/>
        <n v="205.0"/>
        <n v="239.0"/>
        <n v="395.0"/>
        <n v="143.0"/>
        <n v="93.0"/>
        <n v="255.0"/>
        <n v="415.0"/>
        <n v="348.0"/>
        <n v="69.0"/>
        <n v="446.0"/>
        <n v="318.0"/>
        <n v="417.0"/>
        <n v="267.0"/>
        <n v="319.0"/>
        <n v="188.0"/>
        <n v="253.0"/>
        <n v="381.0"/>
        <n v="399.0"/>
        <n v="341.0"/>
        <n v="389.0"/>
        <n v="153.0"/>
        <n v="286.0"/>
        <n v="141.0"/>
        <n v="157.0"/>
        <n v="263.0"/>
        <n v="189.0"/>
        <n v="283.0"/>
        <n v="137.0"/>
        <n v="151.0"/>
        <n v="495.0"/>
        <n v="218.0"/>
        <n v="306.0"/>
        <n v="302.0"/>
        <n v="397.0"/>
        <n v="231.0"/>
        <n v="589.0"/>
        <n v="548.0"/>
        <n v="182.0"/>
        <n v="271.0"/>
        <n v="71.0"/>
        <n v="237.0"/>
        <n v="213.0"/>
        <n v="32.0"/>
        <n v="185.0"/>
        <n v="46.0"/>
        <n v="537.0"/>
        <n v="25.0"/>
        <n v="10.0"/>
        <n v="44.0"/>
        <n v="98.0"/>
        <n v="165.0"/>
        <n v="107.0"/>
        <n v="41.0"/>
        <n v="413.0"/>
        <n v="186.0"/>
        <n v="144.0"/>
        <n v="109.0"/>
        <n v="509.0"/>
        <n v="18.0"/>
        <n v="254.0"/>
        <n v="16.0"/>
        <n v="396.0"/>
        <n v="217.0"/>
        <n v="15.0"/>
        <n v="135.0"/>
        <n v="102.0"/>
        <n v="47.0"/>
        <n v="99.0"/>
        <n v="38.0"/>
        <n v="40.0"/>
        <n v="358.0"/>
        <n v="174.0"/>
        <n v="154.0"/>
        <n v="443.0"/>
        <n v="155.0"/>
        <n v="173.0"/>
        <n v="300.0"/>
        <n v="329.0"/>
        <n v="60.0"/>
        <n v="410.0"/>
        <n v="33.0"/>
        <m/>
      </sharedItems>
    </cacheField>
    <cacheField name="Página_Total" numFmtId="0">
      <sharedItems containsString="0" containsBlank="1" containsNumber="1" containsInteger="1">
        <n v="128.0"/>
        <n v="48.0"/>
        <n v="64.0"/>
        <n v="111.0"/>
        <n v="224.0"/>
        <n v="448.0"/>
        <n v="279.0"/>
        <n v="504.0"/>
        <n v="788.0"/>
        <n v="297.0"/>
        <n v="1202.0"/>
        <n v="1168.0"/>
        <n v="125.0"/>
        <n v="438.0"/>
        <n v="152.0"/>
        <n v="194.0"/>
        <n v="309.0"/>
        <n v="384.0"/>
        <n v="518.0"/>
        <n v="379.0"/>
        <n v="1408.0"/>
        <n v="198.0"/>
        <n v="232.0"/>
        <n v="320.0"/>
        <n v="127.0"/>
        <n v="91.0"/>
        <n v="190.0"/>
        <n v="132.0"/>
        <n v="281.0"/>
        <n v="156.0"/>
        <n v="219.0"/>
        <n v="67.0"/>
        <n v="52.0"/>
        <n v="110.0"/>
        <n v="88.0"/>
        <n v="112.0"/>
        <n v="175.0"/>
        <n v="262.0"/>
        <n v="284.0"/>
        <n v="298.0"/>
        <n v="314.0"/>
        <n v="326.0"/>
        <n v="80.0"/>
        <n v="472.0"/>
        <n v="432.0"/>
        <n v="512.0"/>
        <n v="753.0"/>
        <n v="292.0"/>
        <n v="444.0"/>
        <n v="887.0"/>
        <n v="321.0"/>
        <n v="336.0"/>
        <n v="464.0"/>
        <n v="592.0"/>
        <n v="696.0"/>
        <n v="368.0"/>
        <n v="388.0"/>
        <n v="226.0"/>
        <n v="216.0"/>
        <n v="445.0"/>
        <n v="365.0"/>
        <n v="352.0"/>
        <n v="894.0"/>
        <n v="149.0"/>
        <n v="567.0"/>
        <n v="366.0"/>
        <n v="160.0"/>
        <n v="272.0"/>
        <n v="461.0"/>
        <n v="470.0"/>
        <n v="53.0"/>
        <n v="367.0"/>
        <n v="328.0"/>
        <n v="392.0"/>
        <n v="221.0"/>
        <n v="223.0"/>
        <n v="256.0"/>
        <n v="106.0"/>
        <n v="210.0"/>
        <n v="265.0"/>
        <n v="560.0"/>
        <n v="312.0"/>
        <n v="656.0"/>
        <n v="362.0"/>
        <n v="400.0"/>
        <n v="340.0"/>
        <n v="172.0"/>
        <n v="496.0"/>
        <n v="120.0"/>
        <n v="273.0"/>
        <n v="884.0"/>
        <n v="304.0"/>
        <n v="586.0"/>
        <n v="12.0"/>
        <n v="378.0"/>
        <n v="335.0"/>
        <n v="257.0"/>
        <n v="227.0"/>
        <n v="170.0"/>
        <n v="941.0"/>
        <n v="546.0"/>
        <n v="532.0"/>
        <n v="287.0"/>
        <n v="644.0"/>
        <n v="872.0"/>
        <n v="316.0"/>
        <n v="344.0"/>
        <n v="296.0"/>
        <n v="234.0"/>
        <n v="544.0"/>
        <n v="347.0"/>
        <n v="301.0"/>
        <n v="288.0"/>
        <n v="176.0"/>
        <n v="364.0"/>
        <n v="354.0"/>
        <n v="350.0"/>
        <n v="105.0"/>
        <n v="208.0"/>
        <n v="200.0"/>
        <n v="28.0"/>
        <n v="576.0"/>
        <n v="440.0"/>
        <n v="377.0"/>
        <n v="240.0"/>
        <n v="246.0"/>
        <n v="280.0"/>
        <n v="390.0"/>
        <n v="736.0"/>
        <n v="480.0"/>
        <n v="126.0"/>
        <n v="380.0"/>
        <n v="412.0"/>
        <n v="528.0"/>
        <n v="315.0"/>
        <n v="317.0"/>
        <n v="248.0"/>
        <n v="491.0"/>
        <n v="206.0"/>
        <n v="376.0"/>
        <n v="222.0"/>
        <n v="789.0"/>
        <n v="124.0"/>
        <n v="79.0"/>
        <n v="96.0"/>
        <n v="327.0"/>
        <n v="960.0"/>
        <n v="398.0"/>
        <n v="596.0"/>
        <n v="334.0"/>
        <n v="382.0"/>
        <n v="161.0"/>
        <n v="191.0"/>
        <n v="408.0"/>
        <n v="159.0"/>
        <n v="192.0"/>
        <n v="416.0"/>
        <n v="269.0"/>
        <n v="199.0"/>
        <n v="349.0"/>
        <n v="142.0"/>
        <n v="179.0"/>
        <n v="245.0"/>
        <n v="351.0"/>
        <n v="205.0"/>
        <n v="239.0"/>
        <n v="395.0"/>
        <n v="143.0"/>
        <n v="93.0"/>
        <n v="255.0"/>
        <n v="415.0"/>
        <n v="348.0"/>
        <n v="69.0"/>
        <n v="446.0"/>
        <n v="318.0"/>
        <n v="417.0"/>
        <n v="267.0"/>
        <n v="319.0"/>
        <n v="188.0"/>
        <n v="253.0"/>
        <n v="381.0"/>
        <n v="399.0"/>
        <n v="341.0"/>
        <n v="389.0"/>
        <n v="153.0"/>
        <n v="286.0"/>
        <n v="141.0"/>
        <n v="157.0"/>
        <n v="394.0"/>
        <n v="263.0"/>
        <n v="189.0"/>
        <n v="283.0"/>
        <n v="137.0"/>
        <n v="151.0"/>
        <n v="495.0"/>
        <n v="218.0"/>
        <n v="306.0"/>
        <n v="302.0"/>
        <n v="397.0"/>
        <n v="231.0"/>
        <n v="589.0"/>
        <n v="548.0"/>
        <n v="182.0"/>
        <n v="271.0"/>
        <n v="71.0"/>
        <n v="237.0"/>
        <n v="213.0"/>
        <n v="32.0"/>
        <n v="185.0"/>
        <n v="46.0"/>
        <n v="537.0"/>
        <n v="25.0"/>
        <n v="10.0"/>
        <n v="44.0"/>
        <n v="98.0"/>
        <n v="165.0"/>
        <n v="107.0"/>
        <n v="252.0"/>
        <n v="41.0"/>
        <n v="413.0"/>
        <n v="186.0"/>
        <n v="144.0"/>
        <n v="109.0"/>
        <n v="509.0"/>
        <n v="18.0"/>
        <n v="254.0"/>
        <n v="16.0"/>
        <n v="396.0"/>
        <n v="20.0"/>
        <n v="217.0"/>
        <n v="15.0"/>
        <n v="135.0"/>
        <n v="102.0"/>
        <n v="47.0"/>
        <n v="99.0"/>
        <n v="38.0"/>
        <n v="40.0"/>
        <n v="358.0"/>
        <n v="174.0"/>
        <n v="443.0"/>
        <n v="155.0"/>
        <n v="173.0"/>
        <n v="300.0"/>
        <n v="329.0"/>
        <n v="60.0"/>
        <n v="410.0"/>
        <n v="33.0"/>
        <m/>
      </sharedItems>
    </cacheField>
    <cacheField name="Pontos" numFmtId="0">
      <sharedItems containsString="0" containsBlank="1" containsNumber="1">
        <n v="0.9578125"/>
        <n v="0.47083333333333327"/>
        <n v="0.46562499999999996"/>
        <n v="0.8578125"/>
        <n v="0.709009009009009"/>
        <n v="1.104464285714286"/>
        <n v="1.354464285714286"/>
        <n v="1.0022321428571428"/>
        <n v="0.5535842293906811"/>
        <n v="1.001984126984127"/>
        <n v="1.101269035532995"/>
        <n v="1.4033670033670034"/>
        <n v="1.4508319467554076"/>
        <n v="1.1008561643835617"/>
        <n v="0.758"/>
        <n v="0.9022831050228309"/>
        <n v="1.106578947368421"/>
        <n v="1.0051546391752577"/>
        <n v="1.2032362459546928"/>
        <n v="0.7026041666666666"/>
        <n v="1.3519305019305021"/>
        <n v="0.9026385224274406"/>
        <n v="1.1007102272727274"/>
        <n v="1.2050505050505051"/>
        <n v="0.9043103448275861"/>
        <n v="1.0565789473684208"/>
        <n v="1.2031250000000002"/>
        <n v="1.2078740157480317"/>
        <n v="1.110989010989011"/>
        <n v="1.0552631578947367"/>
        <n v="0.9575757575757575"/>
        <n v="1.2035587188612102"/>
        <n v="1.3078125"/>
        <n v="0.9064102564102563"/>
        <n v="1.0545662100456619"/>
        <n v="1.2149253731343286"/>
        <n v="0.9192307692307692"/>
        <n v="1.0590909090909089"/>
        <n v="1.0113636363636362"/>
        <n v="0.9089285714285713"/>
        <n v="0.9052631578947368"/>
        <n v="0.8057142857142857"/>
        <n v="0.9038167938931296"/>
        <n v="0.9035211267605633"/>
        <n v="0.9033557046979865"/>
        <n v="0.7531847133757962"/>
        <n v="0.7030674846625766"/>
        <n v="0.9124999999999999"/>
        <n v="0.9021186440677965"/>
        <n v="0.9523148148148147"/>
        <n v="1.0519531249999998"/>
        <n v="1.25132802124834"/>
        <n v="1.0534246575342463"/>
        <n v="1.2022522522522525"/>
        <n v="1.2011273957158966"/>
        <n v="1.1031152647975078"/>
        <n v="0.7529761904761905"/>
        <n v="0.9021551724137931"/>
        <n v="0.7522321428571429"/>
        <n v="0.9516891891891891"/>
        <n v="0.7514367816091954"/>
        <n v="1.352717391304348"/>
        <n v="1.352577319587629"/>
        <n v="0.9044247787610619"/>
        <n v="0.9046296296296296"/>
        <n v="1.2022471910112362"/>
        <n v="0.9027397260273972"/>
        <n v="0.902840909090909"/>
        <n v="0.9011185682326621"/>
        <n v="0.9067114093959731"/>
        <n v="1.1033557046979867"/>
        <n v="0.6023148148148149"/>
        <n v="0.6021551724137932"/>
        <n v="0.6017636684303351"/>
        <n v="0.8527322404371586"/>
        <n v="0.9562499999999999"/>
        <n v="0.9536764705882352"/>
        <n v="1.1021691973969632"/>
        <n v="1.2021276595744683"/>
        <n v="0.7688679245283019"/>
        <n v="0.9027247956403269"/>
        <n v="1.0030487804878048"/>
        <n v="1.0525510204081632"/>
        <n v="1.004524886877828"/>
        <n v="0.9544843049327354"/>
        <n v="0.95390625"/>
        <n v="0.9543103448275861"/>
        <n v="0.9594339622641509"/>
        <n v="0.9526041666666666"/>
        <n v="0.9547619047619047"/>
        <n v="0.7537735849056604"/>
        <n v="1.1516891891891892"/>
        <n v="1.102314814814815"/>
        <n v="1.051785714285714"/>
        <n v="1.3532051282051283"/>
        <n v="1.3516891891891893"/>
        <n v="1.0023148148148147"/>
        <n v="1.2515243902439024"/>
        <n v="0.8527624309392265"/>
        <n v="0.8025"/>
        <n v="1.3029411764705883"/>
        <n v="1.2058139534883723"/>
        <n v="0.902016129032258"/>
        <n v="0.9583333333333333"/>
        <n v="0.9036630036630036"/>
        <n v="1.1536764705882352"/>
        <n v="1.251131221719457"/>
        <n v="0.9532894736842105"/>
        <n v="0.9017064846416382"/>
        <n v="1.0833333333333333"/>
        <n v="1.0029761904761905"/>
        <n v="0.7526455026455027"/>
        <n v="0.7529850746268657"/>
        <n v="0.7538910505836576"/>
        <n v="1.0544052863436122"/>
        <n v="0.9058823529411764"/>
        <n v="1.1010626992561106"/>
        <n v="1.201831501831502"/>
        <n v="1.2019305019305022"/>
        <n v="1.1018796992481203"/>
        <n v="0.9034843205574912"/>
        <n v="1.0515527950310557"/>
        <n v="0.9019841269841269"/>
        <n v="1.1011467889908257"/>
        <n v="1.0031645569620253"/>
        <n v="0.952906976744186"/>
        <n v="0.9062499999999999"/>
        <n v="0.7533783783783784"/>
        <n v="0.7542735042735043"/>
        <n v="1.201838235294118"/>
        <n v="1.3025"/>
        <n v="1.1036764705882354"/>
        <n v="1.1028818443804036"/>
        <n v="1.1033222591362126"/>
        <n v="1.0534722222222221"/>
        <n v="0.9056818181818181"/>
        <n v="1.202747252747253"/>
        <n v="1.2025510204081635"/>
        <n v="1.2028248587570622"/>
        <n v="1.1528571428571428"/>
        <n v="1.1026455026455027"/>
        <n v="0.7095238095238094"/>
        <n v="1.0548076923076921"/>
        <n v="1.005"/>
        <n v="0.7357142857142857"/>
        <n v="1.070833333333333"/>
        <n v="1.2526041666666667"/>
        <n v="1.1026041666666668"/>
        <n v="1.0529761904761903"/>
        <n v="1.0044642857142856"/>
        <n v="0.9036764705882352"/>
        <n v="1.1017361111111112"/>
        <n v="1.0029069767441858"/>
        <n v="0.6522727272727273"/>
        <n v="1.152016129032258"/>
        <n v="1.152652519893899"/>
        <n v="0.9548076923076922"/>
        <n v="0.9529761904761904"/>
        <n v="1.0541666666666665"/>
        <n v="1.0520161290322578"/>
        <n v="1.0540650406504064"/>
        <n v="1.1535714285714285"/>
        <n v="0.9525641025641025"/>
        <n v="1.104424778761062"/>
        <n v="1.10390625"/>
        <n v="0.9544642857142857"/>
        <n v="1.0013586956521738"/>
        <n v="1.253125"/>
        <n v="1.0515243902439024"/>
        <n v="1.0032894736842104"/>
        <n v="1.053125"/>
        <n v="0.7035714285714285"/>
        <n v="1.1029761904761906"/>
        <n v="1.0539062499999998"/>
        <n v="0.9520833333333333"/>
        <n v="0.8034722222222223"/>
        <n v="0.7579365079365079"/>
        <n v="0.9526315789473684"/>
        <n v="1.3029761904761905"/>
        <n v="1.2025"/>
        <n v="1.1025510204081634"/>
        <n v="1.0048076923076923"/>
        <n v="1.2541666666666667"/>
        <n v="1.1548076923076922"/>
        <n v="0.9556818181818182"/>
        <n v="1.0544642857142859"/>
        <n v="1.0041666666666667"/>
        <n v="1.1048076923076924"/>
        <n v="0.8023148148148148"/>
        <n v="1.0536764705882353"/>
        <n v="0.805"/>
        <n v="1.0027173913043477"/>
        <n v="1.0056818181818181"/>
        <n v="1.0024271844660193"/>
        <n v="1.0018939393939394"/>
        <n v="1.2531746031746032"/>
        <n v="1.0034722222222223"/>
        <n v="1.0025"/>
        <n v="0.9527322404371584"/>
        <n v="0.6532894736842105"/>
        <n v="0.9534722222222222"/>
        <n v="0.953154574132492"/>
        <n v="1.004032258064516"/>
        <n v="1.0520366598778002"/>
        <n v="1.1533783783783782"/>
        <n v="1.0548543689320387"/>
        <n v="0.952659574468085"/>
        <n v="1.0545045045045043"/>
        <n v="1.0012674271229405"/>
        <n v="1.1522321428571427"/>
        <n v="1.204464285714286"/>
        <n v="1.207936507936508"/>
        <n v="1.2080645161290324"/>
        <n v="1.3562500000000002"/>
        <n v="1.2126582278481013"/>
        <n v="1.0604166666666666"/>
        <n v="1.3030581039755351"/>
        <n v="1.2034722222222225"/>
        <n v="1.3531250000000001"/>
        <n v="1.1057142857142859"/>
        <n v="1.1525510204081633"/>
        <n v="1.3543103448275864"/>
        <n v="1.3062500000000001"/>
        <n v="1.3510416666666667"/>
        <n v="1.1025125628140704"/>
        <n v="1.2516778523489933"/>
        <n v="1.0044642857142858"/>
        <n v="1.0028409090909092"/>
        <n v="1.055681818181818"/>
        <n v="1.3020833333333335"/>
        <n v="1.2032894736842108"/>
        <n v="1.0529940119760477"/>
        <n v="1.1526178010471204"/>
        <n v="1.1062111801242236"/>
        <n v="1.1052356020942409"/>
        <n v="0.9524509803921568"/>
        <n v="1.102717391304348"/>
        <n v="1.0522471910112359"/>
        <n v="1.1527173913043478"/>
        <n v="1.3044843049327355"/>
        <n v="1.1033783783783784"/>
        <n v="0.9533222591362126"/>
        <n v="1.2028409090909093"/>
        <n v="1.2062893081761008"/>
        <n v="1.1080645161290323"/>
        <n v="1.1534722222222222"/>
        <n v="1.3552083333333333"/>
        <n v="1.1524038461538462"/>
        <n v="0.9537174721189591"/>
        <n v="1.1550251256281405"/>
        <n v="1.1031250000000001"/>
        <n v="1.1528653295128939"/>
        <n v="1.0570422535211266"/>
        <n v="1.105586592178771"/>
        <n v="1.102857142857143"/>
        <n v="0.9533783783783784"/>
        <n v="1.1540816326530612"/>
        <n v="1.1528490028490028"/>
        <n v="1.204878048780488"/>
        <n v="1.10418410041841"/>
        <n v="0.953584229390681"/>
        <n v="1.1025316455696204"/>
        <n v="1.2045248868778282"/>
        <n v="1.056993006993007"/>
        <n v="1.1035211267605636"/>
        <n v="1.210752688172043"/>
        <n v="0.9057142857142856"/>
        <n v="1.103921568627451"/>
        <n v="1.0524096385542168"/>
        <n v="1.3035211267605635"/>
        <n v="1.052849002849003"/>
        <n v="1.2528735632183907"/>
        <n v="0.7144927536231883"/>
        <n v="1.0528818443804033"/>
        <n v="1.2548780487804878"/>
        <n v="1.3022421524663677"/>
        <n v="1.1031446540880505"/>
        <n v="1.2031645569620255"/>
        <n v="1.2552631578947369"/>
        <n v="1.0031446540880504"/>
        <n v="1.2050251256281408"/>
        <n v="1.1023980815347723"/>
        <n v="1.256993006993007"/>
        <n v="1.3527397260273974"/>
        <n v="0.9031446540880503"/>
        <n v="1.1537453183520598"/>
        <n v="1.0033222591362125"/>
        <n v="1.2531347962382444"/>
        <n v="1.3031347962382445"/>
        <n v="1.1053191489361702"/>
        <n v="1.2039525691699606"/>
        <n v="1.1526246719160105"/>
        <n v="1.3034843205574913"/>
        <n v="1.1525062656641603"/>
        <n v="1.2029325513196483"/>
        <n v="1.002865329512894"/>
        <n v="1.2031347962382446"/>
        <n v="1.1031545741324922"/>
        <n v="1.205714285714286"/>
        <n v="1.0525706940874033"/>
        <n v="1.2565359477124183"/>
        <n v="1.1034965034965036"/>
        <n v="1.2028818443804037"/>
        <n v="1.2037453183520601"/>
        <n v="1.3031545741324921"/>
        <n v="1.0027322404371584"/>
        <n v="1.2045662100456622"/>
        <n v="1.002849002849003"/>
        <n v="1.2529850746268656"/>
        <n v="1.1070921985815603"/>
        <n v="1.1063694267515924"/>
        <n v="1.0528490028490027"/>
        <n v="1.1525380710659898"/>
        <n v="1.2038022813688214"/>
        <n v="0.9526178010471203"/>
        <n v="1.3052910052910054"/>
        <n v="1.0526041666666666"/>
        <n v="1.2035335689045938"/>
        <n v="1.107299270072993"/>
        <n v="0.8033222591362127"/>
        <n v="1.1566225165562913"/>
        <n v="1.0557142857142856"/>
        <n v="1.252020202020202"/>
        <n v="1.15709219858156"/>
        <n v="1.204587155963303"/>
        <n v="1.2532679738562091"/>
        <n v="1.158"/>
        <n v="0.8533112582781458"/>
        <n v="1.0025188916876575"/>
        <n v="1.1543290043290042"/>
        <n v="1.0036764705882353"/>
        <n v="1.3525316455696204"/>
        <n v="0.9528571428571428"/>
        <n v="1.255050505050505"/>
        <n v="1.0531347962382442"/>
        <n v="0.9545045045045044"/>
        <n v="1.1516977928692698"/>
        <n v="1.1018248175182483"/>
        <n v="1.1554945054945054"/>
        <n v="1.25374531835206"/>
        <n v="1.253690036900369"/>
        <n v="1.002857142857143"/>
        <n v="1.0029850746268656"/>
        <n v="1.1640845070422534"/>
        <n v="1.2042194092827005"/>
        <n v="1.1546948356807512"/>
        <n v="1.43125"/>
        <n v="1.2054054054054055"/>
        <n v="1.4717391304347827"/>
        <n v="1.2518621973929236"/>
        <n v="1.00625"/>
        <n v="1.3900000000000001"/>
        <n v="1.38125"/>
        <n v="1.108"/>
        <n v="1.5040816326530613"/>
        <n v="1.15"/>
        <n v="1.5227272727272727"/>
        <n v="1.3054945054945055"/>
        <n v="1.110204081632653"/>
        <n v="1.2028571428571428"/>
        <n v="1.2557142857142858"/>
        <n v="0.01098901098901099"/>
        <n v="1.256060606060606"/>
        <n v="1.2093457943925234"/>
        <n v="1.053968253968254"/>
        <n v="1.503968253968254"/>
        <n v="1.1026246719160107"/>
        <n v="1.502865329512894"/>
        <n v="1.3052356020942408"/>
        <n v="1.324390243902439"/>
        <n v="1.1024213075060534"/>
        <n v="1.5053763440860215"/>
        <n v="1.1531645569620252"/>
        <n v="1.207042253521127"/>
        <n v="1.5069444444444444"/>
        <n v="1.2591743119266054"/>
        <n v="1.5054054054054054"/>
        <n v="1.0019646365422397"/>
        <n v="1.3055555555555556"/>
        <n v="1.1555555555555557"/>
        <n v="1.3305555555555555"/>
        <n v="1.2305555555555554"/>
        <n v="1.4555555555555555"/>
        <n v="1.2531446540880504"/>
        <n v="1.303921568627451"/>
        <n v="1.2542194092827004"/>
        <n v="1.3039370078740158"/>
        <n v="0.8333333333333334"/>
        <n v="0.9125"/>
        <n v="1.1525252525252525"/>
        <n v="0.8625"/>
        <n v="1.253584229390681"/>
        <n v="1.5149253731343284"/>
        <n v="1.35"/>
        <n v="1.103690036900369"/>
        <n v="1.4046082949308756"/>
        <n v="1.4666666666666666"/>
        <n v="1.1074074074074074"/>
        <n v="1.2598039215686274"/>
        <n v="1.221276595744681"/>
        <n v="0.2601010101010101"/>
        <n v="1.5263157894736843"/>
        <n v="1.4842391304347826"/>
        <n v="0.021739130434782608"/>
        <n v="0.9875"/>
        <n v="1.1527932960893854"/>
        <n v="1.5057471264367817"/>
        <n v="1.5048543689320388"/>
        <n v="1.3026315789473684"/>
        <n v="1.2045045045045046"/>
        <n v="1.3060606060606061"/>
        <n v="1.252257336343115"/>
        <n v="1.3064516129032258"/>
        <n v="1.2557803468208093"/>
        <n v="1.2533333333333334"/>
        <n v="1.2030395136778118"/>
        <n v="1.2570422535211268"/>
        <n v="0.26666666666666666"/>
        <n v="0.85"/>
        <n v="0.852439024390244"/>
        <n v="1.2303030303030302"/>
        <m/>
      </sharedItems>
    </cacheField>
    <cacheField name="Resenha" numFmtId="0">
      <sharedItems containsBlank="1">
        <m/>
        <s v="Um impressionante criação d emundo e de personagens. Clássico absoluto, apesar da autora"/>
        <s v="Perder-se em uma realidade construída pelo desejo de uma vida vazia leva a conseqüências terríveis nessa história. Não aceitar a própria sorte e almejar status nem que estes sejam particulares leva a ´personagem a mergulhar em um redemoinhos de más decisõ"/>
        <s v="Desvendar a mente de Deus a partir da oração do Pai-Nosso revela que Sua mente é tão ou mais humana do que a nossa. Que a imagem e semelhança é valida para a imaginação criativa e para o sofrimento emocional. Tentar explicar Suas propostas a partir das at"/>
        <s v="É um absurdo que uma organização milenar não seja respeitada e não creditada pelo simples fato de continuar existindo por seus méritos e resistindo e melhorando com seus erros. Cada fato da história desde a queda de Roma a queda das Torres Gêmeas a igreja"/>
        <s v="Uma rede de acontecimentos possíveis isoladamente, mas que juntos gera um mistério sobre a morte de um desconhecido que muda de prisma com a revelação de quem ele realmente é. Um texto fascinante de como a realidade pode ser moldada de acordo com as infor"/>
        <s v="Fascinante a análise sobre a criação e criatura. Como o homem tem a capacidade de se tornar um mostro de seus próprios atos e de construir monstros para si próprio. O estranho é narrado de forma realista e suas conseqüências trágicas são vistas em nosso d"/>
        <s v="Parece tão obvio o título do livro após lido e tão impossível antes de lê-lo. Esquecemos que o esporte é um termômetro social, um símbolo em que nós nos identificamos e identificamos a sociedade. A inteligência do texto e o óbvio velada torna este livro u"/>
        <s v="Vejo este livro mais como um manual. Uma ajuda para entendermos o funcionamento de nossa inteligência e fornece auxílio para maximiza o seu uso. E realmente provê boas dicas, no entanto as acho um pouco obvias. Também me confundo, pois me parece que a int"/>
        <s v="É muito bom nos fascinar com nossa própria terra. Surpreender com paisagens tão próximas e respeitar a terra que nos oferece abrigo exigindo respeito. Este livro é uma ode a América Latin mostrando nossa diversidade tão próxima quanto impressionante. Hoje"/>
        <s v="Este livro traz de forma fácil e agradável a complexa dinâmica do universo, sua grandiloqüência e as descobertas mais recentes. Muitos termos são inseridos de forma clara, acessível ao público leigo e interessado em astronomia. O universo ou o multiverso "/>
        <s v="Acontecimentos densos e importantes para Brasil e Portugal aconteceram após esta fatídica data se 1808 e Laurentino Gomes conseguiu transcrever tudo de modo fácil e divertido. Lendo este livro você é inserido no contesto histórico e sente-se familiar com "/>
        <s v="A pretensão de Ana Beatriz Barbosa Silva de quebrar nosso paradigma sobre a certeza do mal e a imagem clássica de um psicopata foi realizada com sucesso. Esclareceu, explicou e recomendou a respeito dessas mentes naturalmente perigosas que nos cerca - até"/>
        <s v="Elétrico!!! A cada página uma reviravolta, personagens que mudam de face caminhando na tênue linha da loucura e inteligência. recomendo a todos que gostam de textos rápidos, de qualidade e histórias que nos fazem pensar!!"/>
        <s v="O magnânimo mundo que apenas Tolkien consegue criar se torna ainda mais amplo e as histórias anda mais intrincadas. É fantástico como as Eras passam, mas que grandes personagens surgem para fazerem sua oposição ou aliança a Morgoth e Sauron, além das raça"/>
        <s v="Um livro ao meu ver essencial, pois define bem a construção do pensamento de nossa sociedade através dos séculos. É um resumo de quem somos e o porquê de sermos assim. Ao lê-lo é fomentado o ato de pensar sobre a nossa natureza e a natureza do universo, g"/>
        <s v="&quot;..., perdoem-me a prelecção moralística, é que vocês não sabem, não o podem saber, o que é ter olhos num mundo de cegos, não sou rainha, não, sou simplesmente a que nasceu para ver o horror...&quot; José Saramago escreveu tudo nesse fragmento. O horror, a fan"/>
        <s v="Esplêndido, história movimentada contada em vários pontos de vista. Complexidade política e geográfica que nos transporta a uma quase realidade medieval. Os personagens inúmeros são bem definidos, alguns de profundidade emocional outras caricatos, mas sem"/>
        <s v="História interessante que nos leva a um Texas plausível, mas sem convencer muito com seu protagonista. Uma história agradável, mas apenas isso."/>
        <s v="A impressão que tive quando lia &quot;A Fúria dos Reis&quot; era que o livro seria previsível, mas fui deliciosamente enganado. George R. R. Martin brincou com minhas expectativas, aumentou os personagens que gostava dando-lhes facetas novas e interessantes. Ainda "/>
        <s v="Achei incrível a sensibilidade deste Cowboy, Monty Roberts, que por fascínio e respeito a estes animais se recusou a utilizar métodos violentos de controle e encontrou comportamentos sutis que determinava a linguagem dos cavalos. É um primor da etologia e"/>
        <s v="Não gosto da forma banal como Rick Riordan trata a mitologia nem muito de certas situações abestalhadas, mas ao mesmo tempo me agrada a escrita leve e rápida. Uma mistura de entretenimento absurdo com banalidade. Também não posso negar a vontade de contin"/>
        <s v="Em algum momento o escritor menos autobiográfico acaba cedendo. Elisabeth Costello é Coetze. É que as crenças fixas são danosas ao romancista, porque o tempo passa. Algumas conversações interessantes sobre literatura, de Molly Bloom a Anna Karenina – ou e"/>
        <s v="Saramago com ironia, mordaz em sua conclusões desfigura a imagem tradicional de Deus para formar uma imagem de total humanidade, a verdadeira &quot;imagem e semelhança&quot; a sua criatura. Cria um Caim pensativo, eficaz no debate e não indiferente a crueldade e as"/>
        <s v="Mais uma vez Dan Brown acerta em suas histórias de suspense e inteligência. São poucas as vezes que torço tanto para um nerd e tento, sem nunca conseguir, adivinhar e solucionar as pistas de cada mistério. Mais uma vez há um vilão assustador, este mais do"/>
        <s v="De beleza sutil e leve o escritor Padre Marcelo Rossi nos traz reflexões de passagens do Evangelho de São João para ser aplicado em nossas vidas seguindo os passos de Cristo. Indico para qualquer um que caminhe em um momento negro ou que queira apenas se "/>
        <s v="Extremamente didático. Expande a visão de obras artística expandido o significado histórico e atemporal de cada uma."/>
        <s v="Tensão homoerótica, superficialidade de comportamento, vangloria da beleza e da corrupção. O livro trata de forma ácida e irônica uma sociedade surpreendentemente atual."/>
        <s v="A capacidade de George R. R. Matin de surpreender é simplesmente surpreendente. Mais uma vez a disputa dos tronos se tornou imprevisível, com personagens antes espertos se tornando tolos, tolos em espertos, maquinações ainda mais intrincadas. A síntese do"/>
        <s v="Deuses estereotipados, aliás, tipos estereotipados. Sua fraqueza é seu triunfo, pois suas divindades obvias consegue descrever exatamente a sua função mitológica, serem um espelho distorcido dos homens. Mas, ainda sim, não gosto da forma despretensiosa qu"/>
        <s v="Ainda atordoado com a dimensão da obra. Um compêndio da história ocidental descrita em termos bíblicos. Batalhas, ideologias, e o jogo dos encontros e desencontros plenamente arquitetado pelos grandes arcanjos. A exaltação da humanidade e do amor como obr"/>
        <s v="Um marco de criatividade, o verdadeiro dualismo de regionalismo e cultura universal com sabor trash!"/>
        <s v="Decepcionante, uma pena! História previsível, heroísmo exacerbado, conceito fraco, diálogos vazios. De forma positiva, talvez, ler o livro me dava a idéias de um jogo de vídeo-game."/>
        <s v="Desinformação, inverdades, insuficiência técnica perante processos biológicos (grande parte devido a ano de publicação). Para von Däniken, há sempre o caminho mais fácil do espaço."/>
        <s v="Fiquei revoltado com o eurocentrismo, racismo e com a tendência a induzir ao sobrenatural do livro que tem o caráter primário de fornecer informação. Mesmo sabendo que não é completamente atual sua literatura é condenável."/>
        <s v="Heroína assassina e magnânima em sua posição de culpada. Vilã ardilosa, insegura e sensível. Diálogos precisos, sutis, não épico, mas discreto, deixando a subtender parte preciosa da história. Absolutamente necessário."/>
        <s v="As obra são caracterizadas por protagonistas contemplativos, platônicos em seus amores e inseguros em seus poucos atos. Dá-se a entender que o personagens principais são fracos comparados a seus iguais, mais sensíveis e covardes. Uma excelente novela."/>
        <s v="A capacidade de Bernard Conwell de recriar paisagens e cenários em sua preferida Inglaterra é fantástica. Nos envolve com histórias já conhecidas, mas com antigos personagens agora possíveis vivendo situações fantásticas que o leva a acertos e erros. É um"/>
        <s v="Nada adianta quando tudo que planejamos vai contrário aos deuses e tudo é resolvido quando os deuses estão de acordo. Nesse segundo volume de As Crônicas de Arthur é Deus ou os deuses os principais personagens. Texto gratificante e história envolvente que"/>
        <s v="Conclusão fantástica e misteriosa da famigerada história do Arthur. Nesse ultimo livro a magia é presente e verdadeira, Guinevere finalmente ascende como aos olhos de Arthur, Merlin revive os antigos mistérios pagando seu preço, Nimue inverte a lógica da "/>
        <s v="Um ser iluminado, daqueles que nascem em períodos determinados para mudar o mundo. Texto bom e belas citações. A autobiografia é um pouco confusa."/>
        <s v="Essencialmente político e sutil. E começam a cair os alicerces tão maquiavelicamente construídos. Digno de nota o crescimento do clero e suas influências abrindo escopo para grandes acontecimentos."/>
        <s v="Um ícone revelado a contra-gosto. Humanizado e por isso mesmo revelando-se grandioso. Apenas um insensível, talvez surdo, não percebe o tamanho do homem que se tornou rei pela vontade do povo, de todo o povo, rico e pobre, norte e sul."/>
        <s v="Finalmente os mundos começam a se chocar! Personagem isolados se encontram dando finalmente um rumo para algumas pontas soltas do enredo. Nesse livro mostrou-se a força de Tyrion (principalmente enquanto adaptação) e a fraqueza de Daenerys (em sua miseric"/>
        <s v="Curioso e inegável... cada escolha história e todos os erros são negativamente familiares a todos os latinos-americanos. extremamente atual mesmo se tratando de um tema histórico."/>
        <s v="Fundamental"/>
        <s v="Gostei do tom de HQ, da história rápida e leve. Mas achei muito superficial, enredo pouco amarrado, personagens sem profundidade e caricatos. Ou seja, uma literatura pipoca."/>
        <s v="Esclarecedor. Uma revisão de nossos preceitos preconceituosos. Este livro que nos leva de fato a idade medieval e nos coloca diante dos fatos que levaram a criação e a aplicação do Santo Ofício. Entendemos os seus motivos sacros e suas penas hoje e certam"/>
        <s v="Humor rápido e veloz, non-sense, irônico e de muitíssimo bom gosto. Define a humanidade usando referências absurdamente simples para apontar nossas falhas de caráter, inteligência e percepção. No final das contas, todos os seres vivos possuem algo de huma"/>
        <s v="O autor mescla fantasia com personagens históricos dando boas dimensões aos personagens. A humanidade de Poe é bem construída, mas achei fraco o seu vitimismo. Samuel ficou superficial e o fato de ser albino o deixou ainda mais caricato. O melhor personag"/>
        <s v="Fascinante o fascínio pela magia e sua contribuição com o imaginário e a ciência de diferentes época. Simplesmente o resumo de todos os desejos da humanidade."/>
        <s v="Excelente livro que mergulha na mente do personagem Julien Sorel, um ambicioso homem a frente de seu tempo que demonstra claro entusiasmo a Revolução Francesa. Livro de transição entre o romantismo, como demonstrado na primeira parte e no final da segunda"/>
        <s v="Uma história psicológica no princípio da sociedade moderna. Um homem que após se refugiar por tanto tempo encontra um propósito num encontro, mesmo que lute contra isso."/>
        <s v="O preconceito, o machismo, a hipocrisia e a loucura cruelmente expostas até os nervos no romance do emblemático Nelson Rodrigues. Nesta história ninguém é perfeito, muito pelo contrários, canalhas e perversos sucedem na narrativa causando risadas, angústi"/>
        <s v="A sátira de Terry Pratchett chega no auge com &quot;A Magia de Holy Wood&quot; onde se debate a fama, o poder das celebridades, a &quot;magia&quot; do cinema, a arte contra o comércio, e as idéias &quot;brilhantes&quot; por trás dos filmes de sucesso. Pratchett nunca deixou sua Disco "/>
        <s v="Mais uma vez Terry Pratchett cria um mundo sobre ironias e paródias bem reais. As bruxas reféns de seu egos encontram na descrença o seu maio poder. O vilania das histórias infantis são mostradas com clareza. E o cenário misto de conto de fadas tradiciona"/>
        <s v="Junto com Paddy Clarke mergulhamos em sua vida juvenil onde as relações familiares, com amigos e pessoal é exposta de forma crua e natural. Somos imediatamente imersos em sentimentos saudosistas de nossas fantasias, &quot;leis&quot; e motivações. Cruel, belo e verd"/>
        <s v="Texto simples, histórias contadas com enxurradas de ficção justificada pelo verdadeiro fato que nós nos vemos pintados por tintas de ficção, com olhos distantes da realidade precisa. Ainda falando de olhos irreais a autora disserta sobre o ato de escrever"/>
        <s v="Um excelente mergulho verossímil em uma história medieval. O personagem esmagado entre a gigante invasão pagã e uma acuada Inglaterra sustentada por bispos. A liberdade perigosa os atacantes e a dureza defensiva dos cristãos. Onde as decisões são influenc"/>
        <s v="Uma história de um jovem adulto tolo, arrogante e sonhador preso ao seu senhor detestável por um vínculo nobre. Nesse pântano o guerreiro amadurece."/>
        <s v="A saga de Urick está cada vez mais atrelado ao sucesso da Inglaterra de Alfredo e preso ao pertinente (talvez até forçado) destino das três fiandeiras."/>
        <s v="A saga de Urick continua entrelaçada com a saga de um sonhado reino da Inglaterra. Nesse quarto volume o peso do protagonismo pesou um pouco. Além disso, importantes personagens foram subutilizados como Gisela. A relação de Aethelflaed e Erick não foi tra"/>
        <s v="A saga de Urick está presa em um vórtice. Seu enredo sempre volta para seus triunfos em expulsar os dinamarqueses e o prendendo ao rei Alfredo. No entanto, existe um guinada para seu amadurecimento com sua relação mais próxima com Aethelflaed e o melhor a"/>
        <s v="Mais um capítulo de Robert Longdon salvando a humanidade. Agora seguindo pistas de dante no inferno medieval passando por Florença, Veneza e Istambul. Longdon está ficando mais chato com o tempo, mas ponto para a personagem de Sienna, que conseguiu ser at"/>
        <s v="Primeiro quero agradecer a prontidão e a consideração que o autor teve ao vender o livro e a mensagem carinhosamente assinada. A história é muito boa, nos prende e nos causa angústia. O personagem principal mostra-se humano por ser cheio de falhas e preso"/>
        <s v="Coletânea com uma curta biografia e a importância de importantes homens e mulheres na história da matemática. Bom panorama da matemática antiga e os caminhos acumulativos dessa ciência tão natural e tão abstrata!"/>
        <s v="Polêmicas sobre religião e processos judiciários foi elegantemente tratados na história contada por Ian McEwan. O ritmo rápido permeado pelo desvanear da protagonista em crise trouxe profundidade a juíza. No entanto, os problemas pessoais estavam me lembr"/>
        <s v="Peripécias de um garoto ganhando contornos policiais!"/>
        <s v="Brilhante texto sobre a mediocridade humana, desde a falta de amor-próprio a arrogância sobre outros."/>
        <s v="Leve romance que conta a despretensiosa vida de um escritor amante de leituras com profundas questões existenciais e um velho e simples grego que aprendeu a viver a apreciar a vida na prática. o choque dos dois personagens formados em polos tão distantes "/>
        <s v="Como o felino título a história percorre um caminho elegante mostrando uma família siciliana aristocrática tentando sobreviver ao fim desse regime. Quieto e introspectivo vê a subida da tosca classe burguesa que vinha para ocupar seu antigo espaço feudal "/>
        <s v="O começo do século foi cantado em ritmo alternado de lento para rápido. Personagens reais ficcionados revelando precisamente a dimensão de um tempo onde o preconceito, sexismo e o direitos dos trabalhadores eram vistos como errado em uma &quot;inocente&quot; época."/>
        <s v="Histórias que positivamente subvertem o imaginário comum dos contos de fadas. Contos estes colocado em ótica feminina sem cair na simplificação do perfeito contra o imperfeito, mesmo que demonstre a clássica luta do bem contra o mal. Existe sutileza na vi"/>
        <s v="Como resgate de lembranças o autor nos faz devagar na intimidade de sua memória em um fluxo inconsciente de memórias, ficção ou um misto dos dois. O irreal mistura-se ao real, pequenas coisas se tornam grandes e grandes coisas esquecidas. Termino o livro "/>
        <s v="A personificação dos deuses antigos e novos, a luta pela sobrevivência e um grande golpe revela bem a essência do povo americano, desde suas ambições desmedidas até a passividade com que aceitam as adversidade."/>
        <s v="De uma sensibilidade incrível o texto narra a história cotidiana, mas de acasos importantes de uma família construída em uma diferente cultura. Mas, muito mais que um relato de choque cultural, o livro mergulha na cabeça de diferentes personagens trazendo"/>
        <s v="A história perde um excelente gancho histórico-ficcional em detalhamentos técnicos de tecnologia e nas extraordinárias habilidade (Indiana Jones + Rambo) do protagonista."/>
        <s v="As mentiras de Locke Lamora nos coloca em uma perspectiva nova, o submundo de um mundo de fantasia. Vivendo como sacerdote falsário ele desbrava excelente relações sociais de mundo nem tão medieval assim."/>
        <s v="Roamnace com grande de ar de conto de fadas. Uma história que acompanha a sempre mítica história de China na ótica de três personagens coberta de fantasia. Shento é a montanha que ascende commoral estática resistindo a tudo. Também o rio que se move com s"/>
        <s v="Os falsários se enrolam com uma história muito complexas. As camadas de mentiras se enrolam no enredo tornando-o lento em sua segunda metade forçando uma conclusão rápida e conveniente demais. Porém, ainda é delicioso o espectro do falsário na fantasia."/>
        <s v="Foi revigorante ler Limonov, uma história nem um pouco pasteurizada pelo politicamente correto. Um personagem real, mas irreal em suas escolhas conturbadas. Um sobrevivente do grande destino que buscava. um miserável vencido, mas orgulhoso de sua trajetór"/>
        <s v="Um romance western dissecado a nível psicológico onde irmãos unidos por uma tragédia perpetuam uma vida de morte, ganhos e inúmeras perdas. Personagens diferentes, um frio e maligno e outro emotivo e tempestuoso, mas apenas um se transforma no final da jo"/>
        <s v="Mais um livro onde o personagem principal é deslocado socialmente e percebe-se especial e precisa esconder este segredo junto com outros especias (seguindo a bem-sucedida fórmula de Harry Potter). Neste caso, a um forte paralelo com a segunda guerra mundi"/>
        <s v="Incrível coleção de contos clássicos e que foram, de diversas maneiras, atualizadas."/>
        <s v="Um retrato de tantas vidas"/>
        <s v="As indas e vindas da arte, o fluxo criativo dos mais lives aos períodos mais conturbados, a sociedade de elite e monopolizadora da arte de massa, tudo isso é descrito de forma leve e quase confecional por Nelson Motta."/>
        <s v="Várias faces da decadência! Desde a submissão até a loucura... Violência e silêncio!"/>
        <s v="Como a ultima luz dos escombros da mansão a religião segue como o único farol que guia os personagens, para o bem ou para o mal."/>
        <s v="Tanto crime de &quot;A Promessa&quot; quanto o julgamento de &quot;A Pane&quot; prendem o leitor ao livro tornado-o seleciono para ser devorado (assim como o banquete da última história). Também existe uma similaridade entre as histórias a respeito do nível de devoção que os"/>
        <s v="A escrita reflete os pensamentos de Colometa, as vezes vagos e outras dominantes. Muitas vezes a aflição, representada pelos pombos e pela repetição, me deixava angustiado e isso me maravilha."/>
        <s v="Essas Marias tão comuns,simples, tão ordinárias em suas vidas e, por isso mesmo, tão possíveis e tão próximas."/>
        <s v="Grande fluxo ideias, desvaneios lisérgico tomado por paranóias e com o que há de pior na humanidade, submundo, contra-cultura! Difícil de ler, ainda mais de digerir, mas, ainda assim, necessário!"/>
        <s v="Devastador com a visão infantil do pior da humanidade. A infância foi massacrada por ideais egoísta de alguns adultos arrogantes. Um crime irreparável!"/>
        <s v="Auto-destrutivo, melancólico, sem perspectiva é niilista. Grunge por essência!"/>
        <s v="História que segue a trajetória trágica e heróica de um herói em moldes poucos convencionais. O sofrimento poliuretano seu caráter e a esperteza tornou-se sua maior arma. Boa história e muito bem escrita, no entanto, achei o heroísmo exacerbada cansativo."/>
        <s v="Vidas de talentosos artistas destinados a romperem o paradigma estético vigente contados em uma perspectiva interna com a delicadeza de revelar o crescimento artístico mútuo."/>
        <s v="A fantástica libertação por meio da ferrovia subterrânea é sempre escura, imprevisível e nunca definitiva. História poderosa sobre fuga e carregado do que o homem tem de mais cruel... Fundamental!"/>
        <s v="Uma pena que a expectativa que criei matou a história para mim."/>
        <s v="O alforje como um enviado de Deus muda a vida e a perspectiva sobre ela de todos os personagens que a encontram. O encontro com o sagrado pode ser cruel, porém sempre transformador."/>
        <s v="O peso das tradições em uma mulher que queria ser mãe, mas era mais do que isso. Presa em covardia, cultura e deveres, obrigações com todos, exceto consigo própria! Lindo e triste livro!"/>
        <s v="De ritmo acelerado, ganchos estremamente instigantes e uma boa história policial o livro conseguiu me prender nele de forma vigorosa. Personagens complexos e complexados sustentaram a história bem mais que o mistério do crime que foi solucionado de forma "/>
        <s v="Entre seus pensamentos sobre os motivos de escrever floresce uma triste história de violência, amor incondicional e o custo da liberdade... A história da patinadora me pegou de surpresa."/>
        <s v="De princípio é uma verdadeira viagem para o mundo particular feminino. Entendemos (no meu caso do ponto de vista masculino) nuances de comportamento e aprendemos bastante sobre nossas reações. No entanto, o texto se torna redundante, algumas vezes nos tra"/>
        <s v="Tanto autor quanto personagens, na margem da dissolução do casamento como contrato religioso para apenas contrato civil, reconhecem o amor como o unico motivo para união, mas pesa no destino a maldição da dissolução do ato sagrado."/>
        <s v="A necessidade de comunicação e a solidão é explorado de forma incrível. A divinização daqueles que ouvem sem questionar e sem julgar a perda disso levam os personagens aos seus derradeiros fins."/>
        <s v="Desolador.... O tempo é uma estrada que não leva a lugar nenhum... Perseguição a fantasmas!"/>
        <s v="Barbarismo de povos isolados provoca uma cultura de violência e machismo. E a violenta dominação de uma cultura arrogante e estrangeira pode provocar ainda mais mortes em um cenário já violento."/>
        <s v="Seria a obsessão o destino ou o destino obcecado guiando os passos de Gauna?"/>
        <s v="Delicado como um conto de fadas o autor explora o amor e o desamor, o preconceito sofrido e exercido, a adaptação, o abandono e a saudades. Muito lindo."/>
        <s v="Romance policial de fácil leitura e boa capacidade de te prender no enredo, no entanto, o grande número de personagens mal explorados, a mudança abrupta de inocência a grande detetive da protagonista e um vilão sub-aproveitado diminui consideravelmente a "/>
        <s v="A dor que os define os une, mesmo mistura suas identidades!"/>
        <s v="Há mais culpa do que mediocridade e falha de memória! Tony não é tão inocente quanto aparenta ser!"/>
        <s v="Uma viagem para fugir dos problemas atuais e confrontar questões antigas. O amor pode durar anos, resistir a distância e romper em instantes, pode retornar ainda mais forte ou mais fraco do que nunca, as vezes vai embora para sempre e as vezes volta difer"/>
        <s v="Tão agressivo quanto a seca é a cidade de Kierrara. População sofrida, mas também algozes implacáveis. A trama é inteligente, o protagonista estoico convence, todos os personagens são suspeitos e o fim é recompensador. Um dos melhores da TAG."/>
        <s v="O abandono sem explicação, a auto-descoberta e a descoberta de sua família, adaptar-se a pobreza e aos novos irmãos e pais. Delicada e intensa história de uma protagonista sem nome que se descobre ao perder-se."/>
        <s v="O encantador mundo de Hollywood, o glamour e a beleza, tudo é deliciosamente retratado na história de amor de Evelyn (e mais alguns amores paralelos)."/>
        <s v="Onde a delicadeza é força, a inteligência e descrição e o feminino é poder!"/>
        <s v="Na Realidade Fantástica os personagens extremamente humanos são formados. No absurdos eles criam profundidade, tão belos como se fossem de carne e sangue. Belíssimo."/>
        <s v="É difícil viver na sombra de um homem ruim e não se influenciar... As marcas são eternas e a violência um ciclo..."/>
        <s v="Boa história policial com personagens profundos, não perfeitos e uma história que luta pra se manter na esfera do plausível!"/>
        <s v="Preso a acordos de diferentes épocas, os personagens se arrastam. A libertação, em diferentes linguagens, os livra."/>
        <s v="Livro de transformação e libertação. No entanto, o personagem principal se mostra sempre covarde e irresponsável."/>
        <s v="A morte nos faz nos redescobrirmos, seja como viventes ou seja como pais."/>
        <s v="Será que vive em fantasia ou será que é um assassino? O mergulho psicológico do livro é fantástico!"/>
        <s v="Melodramático e previsível. Parecem as história de Bollywood em sua atmosfera inocente. No entanto, a realidade fictícia apresentada consegue ser absurdamente factível na imensa Índia."/>
        <s v="Delicado e diverso."/>
        <s v="Forte história contada de forma ineficiente. A realidade sobrepôs a escrita, a personagem história surgiu como ficção, pouco crível. Uma pena"/>
        <s v="Na intercessão mágica de uma autobiografia de realidade e o personagem que nos visualizamos de nós próprios José Luís Peixoto construiu seu reino imaginário. Quem somos? Como nos vemos? Como nos mostramos? Tudo isso se mistura em ficção, personagens reais"/>
        <s v="O que parece enfadonho se transforma em uma bela e delicada história de recomeço. Não há idade para uma nova chance!"/>
        <s v="Numa corrida não declarada pelo dominância global os vencedores foram aqueles que estavam no lugar certo e na hora certa. O determinismo geográfico findou o sucesso da Europa."/>
        <s v="Marcelo Rubens Paiva mergulha em sua memória para relatar a impressionante vida de sua mãe, Eunice, e sua derradeira perda de memória. Vítimas da Ditadura Militar, passaram a vida em uma trajetória de sucessos (mesmo com tragédias e desilusões) fugindo da"/>
        <s v="Confesso que não me peguei a história, a morosidade dos acontecimentos, o luto apático e realista de Edward não me conquistou. No entanto, estou apaixonado pela personagem da Shay, pura luz!"/>
        <s v="Um bom livro de ecologia e biogeografia que possui a capacidade de remodelar e quebrar paradigmas a respeito do imperialismo europeu no resto do mundo"/>
        <s v="O autor abusa dos cliques de suspense, mas os subverte todos! Camadas e mais camadas de revelações, verdades provando-se meia-verdades, mentiras ou apenas suposição. Não há limites entre personagem e autor, a ficção se mistura a história, fantástica inter"/>
        <s v="Fundamental na vida de um biólogo. A narrativa científica chega a ficar emocionante em algumas partes, mas, em outras, repetitivas. Indico a todos, pois possui uma imensa força no conhecer e entender a evolução e a conservação."/>
        <s v="Thriller latino, sabor de fumaça de um noir subtropical, várias referências de artes plásticas e arquitetura. Com essas referência Gustavo Malajovich nara a história do desaparecimento de uma criança em Buenos Aires, local tristemente maculado por desapar"/>
        <s v="Pareceu que o fim da ditadura foi acidente. Vontade dos deuses, uma falta da lógica, uma falha na filosofia dos ditadores autoritárias e, por isso mesmo, fantasticamente possível. A América Latina é terra da magia."/>
        <s v="Referenciada milhares de vezes da televisão, cinema e literatura. Obra basilar ocidental!"/>
        <s v="Viva o deboche!"/>
        <s v="Esperava uma viagem conhecida, mas embarquei em uma fantasia própria! Incrível!"/>
        <s v="Afinal, quem não é louco a sua maneia?"/>
        <s v="O filósofo ataca todo o cristianismo, taxando de mentira e que cultua a submissão e a desvalorização da vida. Credita sua mensagem como uma mentira, uma derivação falsificado do único cristão, o próprio Jesus Cristo, que morreu na cruz e levou com ela o v"/>
        <s v="Incrível a sensação de familiaridade que essa obra proporciona, principalmente em tempos atuais. O renascimento dos pensamentos autoritários e racistas do fascismo, os falsos heróis moralistas e cobertos de crimes de ódio, a manipulação da informação e a "/>
        <s v="Flannery O'Connor revelou o interior do americano médio, racista, ignorante, fervorosamente religioso, um red neck soberbo e semi-analfabeto que se sente melhor sendo pior em relação ao que lhe são diferentes. Lendo essa obra não me espanta terem eleito o"/>
        <s v="Visceral. Uma longa roda de opressão, iniciada na escravidão, e que se mantem até hoje, mas mais proeminente no período da primeira metade do século no sul do estado da Geórgia e mesmo no norte, considerada &quot;isenta&quot; disso. Pessoas tratadas como descartáve"/>
        <s v="Machado atravessa o Romantismo vigente dando ares humanos realista a seus personagens, principalmente no casal formado, estes completamente cínicos!"/>
        <s v="Riqueza, nobreza, luxo são ilusões. Estado, poder e direito também o são. Só a miséria é real e encará-la e desesperadora."/>
        <s v="Perdas, inconstâncias, covardias e decepções. São as palavras que permeiam os encantadores personagens. Estou apaixonado pelo Bobby, sempre com seu olhar de pós-vida, sua calma de que no fim há apenas o fim."/>
        <s v="Um crise de meia idade de um homem egoísta até o tutano. Um amor extremo que fala mais da necessidade dele do que da própria mulher amada. Mulheres possíveis e impossíveis, mesmo irreais. Mulheres gueixas subservientes que gozam por fazer o homem gozar, r"/>
        <s v="Impressionante o quanto uma obra pode se tornar contemporânea! Falando da ditadura Salazarista a obra ecoa no Berluschonismo arcaico e atrasado da Itália dos anos 90, época que foi tirada da posição de relevância mundial, e agora no Bolsonarismo fascistoi"/>
        <s v="Maravilhosa obra construída por Patrick Rothuss! Kvothe passou por cada um dos temores do sábio, enfrentou o mar tempestuoso, a noite sem luar e a ira de um homem gentil (nesse caso de uma mulher). Fantasia que teve cultura, linguagem, artes marciais, mag"/>
        <s v="Covardia é o protagonista. Uma covardia de pais, avós e filhos. Uma covardia que cria barreiras de solidão, prisão dentro de si e afastamento dos mais próximos. Covardia de seguir em frente, encarar os problemas, de ficar parado, sempre fugir."/>
        <s v="A vida é um ilusão. Te doutrinam quanto a definição de liberdade, felicidade e lealdade. Se constrói muros de possibilidade, barreiras de certezas, caminhos de verdade, mas tudo isso é construção social. Somos o que fomos levado a crer quem somos e quando"/>
        <s v="A construção de um caráter em meio a imbecilidade do aparthaid. A auto-descoberta de ser mestiço, de se sentir negro, mas não ser aceito, de ser naturalmente feliz em meio a destroços sociais e a pobreza."/>
        <s v="De certa forma, todos somos o Adam. Narcisista, vendo todos em volta na nossa ótica de experiência. Todos somos estrangeiros, mentes estrangeiras tentando traduzir outras mentes por meios de palavras em diálogos, entendo em parte a linguagem e em parte a "/>
        <s v="Romance de crescimento e maturidade. De representatividade e liberdade. O empoderamento de enfrentar um tabu e conquistar a voz, seu espaço, seu sexo."/>
        <s v="Uma revolução pessoa, com baixas de pessoas próximas, desestruturação familiar, ansiedade sem cautela, libertação, redefinição e adequamento a si próprio. De grandeza na transformação e delicada nos detalhes."/>
        <s v="Não tenho dúvidas que o Diabo está tomando notas. Pouca se sobra quando não se sabe quem é você e em que tempo se está."/>
        <s v="A saga do psicopata com super-poder de magnetismo pessoal punindo os gays que se apaixonavam levando-os a um fim trágico não me agradou."/>
        <s v="As atrocidades cometidas pelo Japão durante a invasão a Península da Coréia e na Segunda Guerra Mundia foi habilmente trabalhado por Mary Lynn Bracht. A autora resistiu em não apresentar a violência como um festival de sofrimento como único propósito, mas"/>
        <s v="Admirável a mostrar uma áfrica humana, realista, sem a romantização da pobreza, do salvador branco ou fazer do livro um documentário da National Geographic. Também gostei da jornada falada pelo ponto de vista de cinco mulheres profundas. O problema estava"/>
        <s v="Com grande paralelo com a situação mundial de um surto viral a autora conseguiu abordar de forma bem verossímil a sentimentos comuns com descrença, a ansiedade do isolamento, o aparecimento de teorias de conspiração, a dor da perda, a culpa de estar são, "/>
        <s v="A transitoriedade entre a mediocridade da família branca de classe média americana para a mente criminosa é muito bem feita. Destaque para &quot;Tobias&quot;, um fracassado em crise, e para Millicent, a estonteante esposa. Mas fiquei na dúvida, será o narrador conf"/>
        <s v="O carrossel de Jhon Hill teve um rodeio irregular... Começou desinteressante, chegou em seu ápice em &quot;Devoluções Atrasadas&quot;, seguindo um bom curso até &quot;Mães&quot; e depois se perdendo de vez. É de aplaudir a abrangência de sua obra, mas pouca coisa me emociono"/>
        <s v="Perguntas inteligentes e repostas abrangentes. Muito aprendi sobre o universo de compor universos."/>
        <s v="Confesso que é a primeira vez que leio Sherlock Homes e fiquei positivamente surpreendido. Grande capacidade de entreter e, apesar das miraculosas suposições, faz sentido no universo criado."/>
        <s v="Me foi apresentado uma Lagos moderna, urbana, mutável e conturbada. Caldeirão de povos e culturas, sofrimento e alegrias, corrupção, machismo e nobreza. A Nigéria tão grande e populosa, tão cultural, e ainda é uma pequena pincelada do grande continente da"/>
        <s v="Instigante. Me levou aos trâmites judiciários com leveza, mas sem nos passar por burros. A sede por justiça foi apresentada de forma verossímil, como não lutar diante de tamanha injustiça? Como descansar enquanto inocentes morrem? Minha maior crítica é a "/>
        <s v="Violet é culpa. Culpa por sua família, culpa pelo crime, pelo racismo, por fazer o certo, por se transformar em uma rata. Como rata sobrevive de sobras, sobras de amor que na verdade era domínio e luxúria. Fugindo de predadores, homens brancos heterossexu"/>
        <s v="O entrelaçamento de histórias confere realismo para o conto histórico e fantasia a história contemporânea. Existe mágica, simbolismo de resistência e vitória, tanto em Nur quanto em Rawiya. Ambas são paralelos, espelhos, sendo a ultima uma construção da p"/>
        <s v="Vítima de experimentalismo políticos, sucessões de poder e poder a todo custo, Moisés, com seu interminável nome, foi provado várias vezes de companhia de afeto. Sem base e raiz, todos aqueles em que semeou afeto e apego lhe foram arrancados pela tempesta"/>
        <s v="A subjetividade da narração esconde verdadeiros propósitos. Seria a Mulher Ruiva o destino traçando seus planos? Seria ela expectadora ou agente? Jocasta ou Esfinge? Qual a sua relação com seu filho? Ao usar primeira pessoa Orhan nos permite duvidar de se"/>
        <s v="Frida foi pintada com cores fracas, opacas. Sua complexidade tanto artística como imagéticas foram dissolvidas em um texto morno que a compôs como um menina boba apaixonada. Cadê a ousadia? Sua bissexualidade foi tratada de forma rasa, como todos os outro"/>
        <s v="O livro me enganou, seu começo banal não revelou a profundidade das questões sociais que enbarcaria. Família e criação, solo frio para as protagonistas. Frio também o cenário da cidade, os becos imundos, o vício em drogas, prostituição e todo tipo de viol"/>
        <s v="Contos com uma atmosfera mágica, ilusões e obsessões causadas por encontros e humores. Contados de forma inocente os não tão inocentes súcubos e íncubos."/>
        <s v="Os contos são divertidos, viciantes, levemente inocentes e brilhantes. As múmias são divertidas, mas o ouro mesmo está em Château Noir!"/>
        <s v="De toda a imensidão descrita, a maior era a interna. Personagens introspectivos, arrependidos, perdidos dentro de si. A desolação do externo era puro reflexo do que tinham por dentro. Quão só pode ser uma pessoa?"/>
        <s v="Sula sofre todas as pressões. De ser negra em um mundo de domínio branco. Por ser mulher em um mundo machista. Livre em um mundo de grilhões morais, socias e religiosos. Dessa pressão ela surge como um diamante, jóia brilhante que ofusca o pálido. Aresta "/>
        <s v="Afinal, quem nos somos e quem são as pessoas em nossa volta? Vemos e construímos quantas máscaras e quão forte são estas máscaras diante de uma situação de pressão? São essas as questões que Penny Hancock deixou em sua obra. A forma que as mães se enxerga"/>
        <s v="A atmosfera de investigação, de contar segredos obscuros, de paranoia e loucura faz dessa obra o pai de muitos movimentos de terror que veio depois. Lovecraft diminui o homem a sua mediocridade diante do tamanho do cosmo."/>
        <s v="Anedotas científicas comentadas, mergulhos em lembranças e metáforas pouco sutis. Gostei muito da primeira metade, já a segunda me cansou, momento em que o texto passe a ser mais pessoal e levemente soberbo."/>
        <s v="Cantor é uma pessoa de extraordinário coração, mas é um personagem burro. Limitado em raciocínio procurar respostas a perguntas fazendo associações simples e curtas. E, nessa simplicidade diante de uma pandemia com suas inúmera variáveis, colapsa e toma p"/>
        <s v="Um Rio familiar foi nos apresentado. Um com cara de novela e de filme. Um pouco limpo e brilhante demais, mas extremamente identificável. Os personagens desse Rio beirava o clichê, não que isso seja coisa ruim. O melhor personagem sequer foi um personagem"/>
        <s v="Abi Daré exagera os extremos da maldade e da virtude para nos lembrar o quão profundo pode ser a miséria e a crueldade humana. Quantos ainda hoje vivem em regime similar a escravidão? Muitos tão perto da gente? Nessa obra, Abi é a menina que não quer se c"/>
        <s v="Aglaia é mesquinha, violenta, perigosa e incrivelmente humana. Seus sentimentos amplificados são nossas vergonhas mais internas, mas nela escancaradas. Sua doença rompe pra realidade o que não temos coragem de admitir nem para nós mesmo! Incrível jornada "/>
        <s v="De segredo em segredo, de amor a amor a história passeia por uma estrada de decadência. Entropia de uma família de alicerces de vidro que partidos se rompe em milhões de verdades encobertas. Fantástico acompanhar a derrocada!"/>
        <s v="A ciranda da capa é reveladora. A vida segue em círculos geracionais de erros cometidos por quem tenta fazer o melhor ou por acertos acidentais. Os adultos agindo como crianças e as crianças sendo as mais maduras nessa circular relação."/>
        <s v="De muitas pinceladas poéticas, de fonte de informações subjetivas e carregadas de mágoas e amores, a história é construída de forma irregular e profundamente intrincada aos personagens. O quanto dos textos são interpretações e como definir uma verdade, fo"/>
        <s v="Um grande catálogos de arrependimentos e de olhar para trás, perigosa armadilha a ser policiada. Exercitar a gratidão é uma forma de nãos e tornar Nora Seed."/>
        <s v="O mais espetacular desse livro e a ótica infantil de normalizar tanto caos em sua volta. Jovem demais para perceber entendia as guerras, o genocídio e a segregação como algo cotidiano, lutando dia após dias para sobreviver e estudar. Seria muito fácil par"/>
        <s v="Tanta vida pra viver e tanta vida já vivida, a expectativa de morte sempre presente, a deterioração da carne, o desespero pra viver. Tudo isso foi entregue em lindos diálogos, por vezes cômicos, mas sempre agridoce."/>
        <s v="Difícil pensar sobre o livro de forma anacrônica. A história é cria de seu tempo onde o protagonista e covarde, arrogante, preconceituoso, tem medo de ser amoroso e, principalmente, de se expor ao ridículo. E é isso que torna o livro crível, nessas limita"/>
        <s v="Paula amarra seu texto com múltiplos suspeitos, jogando a motivação entre todos eles e não revelando a personalidade da vítima. Com pouca informação vagamos decidindo culpados para logo depois eximi-los dessa culpa e atribuir a outro, uma ciranda à Agatha"/>
        <s v="Paula renasce após a morte do marido como seus pacientes do neonatal, precisando de cuidados extremos, podendo não sobreviver. descobre que o afeto e mãos quentes possuem propriedades terapêuticas. Entende que a força de viver tem que sair ela, mesmo que "/>
        <s v="Romantizado além do necessário. O autor cita fenômenos sobrenaturais, acusações e julgamentos machistas."/>
        <s v="Ainda a imensa importância do texto inclusivo à comunidade LGBTQIA+ e de personagens não brancos, o grande mérito do livro e a levíssima e carismática história de amor. O amor é universal por sua natureza e a construção dessa relação, seja essa romântica "/>
        <s v="Uma roda de ciranda ou um wonn de história intercruzadas que se encontram na derradeira noite em que o livro começa. Personagens como o mar que os cercas, alguns plácidos e profundos, outros revoltados e multicoloridos, nenhum simples, nenhum seguro. Todo"/>
        <s v="Importantíssimo debater o negro, as Áfricas e o impacto social e cultural do deslocamento do povo africano no mundo!"/>
        <s v="Filho sem pátria, sobrevivente a vagar no deserto da depravação da guerra. Lutar pelo mínimo e perder tudo inúmeras vezes. Jogado fora de seu lar, sobrevive. Acho um grande paralelo aos moradores de ruas das grandes cidades, quase todos negros, descendent"/>
        <s v="Como um livro tão pequeno, no tamanho de suspiro, pode nos tirar tanto o ar por tanto tempo? Poucas palavras, mas imenso e força."/>
        <s v="A alegoria da inadequação na forma de fogo. Todos os personagens são quebrados, mas as crianças são as únicas honestas quanto a isso, que não tentam se esconder e se orgulham de ser quem são."/>
        <s v="Diante da dualidade política contemporânea o autor encontra sua história de amor. As diferenças nem sempre são forças de divergência e afastamento e o autor lembra que esse território pode ser fértil em sentimento e aprendizagem. E nos coloca na perspecti"/>
        <s v="O nome da obra significa tudo! Laymon escreve uma história pesada ao leitor, que cresce na boca do estômago e ocupa pesadamente nossos pensamentos por dia. Pesado é o acúmulo de violência que ele carrega, um somatório de seu sofrimento, dos pais, avós e a"/>
        <s v="Alka destrinchou com curvas delicadas como arabescos de henna a estrutura social da Índia. Lakshimi atravessou as redes estruturadas no racismo e machismo da sociedade em uma rota labiríntica de humilhação e aceitação, custando-lhe sua dignidade. Esta, um"/>
        <s v="Samarcanda é sobre o que é eterno e o que é perene. A Pérsia eterna em sociedade, mas frágil sobre mudanças. Os rubai eternos no tempo, mas singelos em quatro versos rimados. O próprio livro eternos nas lendas, mas naufragado no tempo. Grande obra de imen"/>
        <s v="No final, o que fazemos enquanto vivos? O quanto nos é negado ou obrigado? Quanto controle temos do que nos acontece e sobre quem viramos no final de nossa jornada. Hazel me faz pensar sobre esses termos existencialistas em meio aos pinguins e adorei. Rec"/>
        <s v="Com escrita rápida, de corte profundo e extremamente sincero Camila conta a história daquelas que são sistematicamente atacadas e excluídas. Aquelas que representam os desejos mais ardentes e os pecados inconfessos da cínica sociedade que por não consegui"/>
        <s v="Anseio é uma palavra poderosa. Molda pessoas e cenário, a história e futuro. Esse desejo interno tão poderoso é amplificado com a negação a essa vontade, sendo Ana e sua tia Yalta lutadores ferozes e transformadoras potentes de seus entornos. O mesmo ocor"/>
        <s v="Além da imensa capacidade de quebrar esteriótipos, toda vez que Bird falava &quot;Estamos em Praga&quot; eu pensava na forma que os nativos foram vistos por séculos, como pragas ocupando territórios produtivos e cultuando paganismo. Ou na praga do colonialismo e te"/>
        <s v="Stefano, para mim, escreveu o enredo seu enredo policial em umas das maiores zonas cinzas atuais, as seitas que utilizam de alguma forma de sagrado para manipular, extorquir ou violentar suas vítimas. Essas corporações que são promessas de vida e milagres"/>
        <s v="O ser mãe é o pilar estrutural da maior parte da misogenia na sociedade. A maldição de gerar, parir e ter que criar, sacrifício imposto sem amparo. As mulheres desse romance foram amaldiçoadas pela maternidade, perderam tudo gradativamente que tiveram seu"/>
        <s v="Empolgante a investigação que da mesma forma que era um escape, também era um solucionador, dado os ecos do passado e do perpétuo sofrimento e desamparo dado a mulheres em diferentes épocas. A história ficava entre as coincidências convenientes, dado os t"/>
        <s v="Capítulos pequenas lembranças doloridas de nossos traumas. Como quando tentamos lembrar de algo que nos traumatizou e a lembrança vem como pontadas violentas, curtas e desordenadas, mas ferozes e descontroladas. Uma sucessão de tentativas e arrependimento"/>
        <s v="Uma protagonista embriagada pelo conforto e indulgência. Cega em meio ao tiroteio de pessoas vivendo, errando e acertando, enquanto prefere a simplicidade de ser coadjuvante. Não reage, não age, não vê e quanto vê, não enxerga. É a personagem menos intere"/>
        <s v="O terreno da admiração vira solo fértil para uma obsessão. Mergulhado em um amor cada vez mais doentio, a carência, solidão e inadequação permite Werther perder o juízo. E lentamente, mas fatalmente, um vórtice de loucura cria forma ao ponto do iludido en"/>
        <s v="Revolver o passado é difícil. Como a maré ele traz fragmentos aleatórios para compor um todo. Refaz e transforma a lembrança como dunas, memórias estas fatalmente distorcidas, apaziguadas e acentuadas por nós mesmo, para nos definir. O ritmo da história e"/>
        <s v="Apesar do importantíssimo conceito histórico e a sempre pertinente visitação do período escravocrata, que deve ser sempre lembrado para ser combatido seus frutos podres como racismo, misogenia e outros, Sadeqa Johnson não alcançou o que queria. Ao espelha"/>
        <s v="O quanto do nosso destino temos controle? Vivemos de acordo com a nossa vontade ou vivemos como sonhamos, seguindo uma rota incontrolável de acontecimentos sem o menor controle como expectadores do destino. Somos o que queremos, o que nós construímos ou a"/>
        <s v="Boa parte do livro me senti lendo uma autópsia da mente da personagem, uma investigação da causa de morte que levou a personagem ao estado de animação automática em que vivia. Abelhas de ansiedade, a tristeza da espera, o luto que a consome. Mas depois pe"/>
        <s v="A adaptação é difícil, requer tempos e, muitas vezes, gerações. O precisar se adaptar pode ser um entrave. Ter que ir, fugir, aprender e reaprender a viver. Cultivar vida em solo estranho, preservar vida longe dos seus pode produzir grossas cascas, exteri"/>
        <s v="Lapena nos faz duvidar de nosso julgamento o tempo todo. A culpa é transferida o tempo todo de personagens que nunca são totalmente livres de nosso julgamento. Todo mundo é suspeito, ninguém passa incólume da sinuosa trama. Um grande acerto. (obs.: A pers"/>
        <s v="Um mar de deliciosa hipocrisia é o estopim do surpreendente apocalipse. Um pai narcisista e medíocre afamado afamado por palavras, mas miserável sentimentalmente. Uma detetive que repulsa o sexo com outra mulher, mas que se apaixona ao primeiro toque. Uma"/>
        <s v="Honra é criado sobre injustiça, misoginia, ignorância e intolerância. Sendo honra a palavra perfeita para justificar violência e submissão. No entanto, a história se perde em um novelão ultra-romântico que abafa e mesmo desdenha do imenso sofrimento human"/>
        <s v="A precaridade financeira é um obstáculo político. Lutar para sobreviver, trabalho árduo, pouco descanso se torna uma barreira aos acontecimentos político, um muro que impede a percepção que muitos dos problemas financeiros são de origem política. A dinast"/>
        <s v="O mais puro e precioso senso de humor. Desfile de sarcasmo, desgraças e a humanidade mais verdadeira, repleta de defeitos e esperanças vãs. Mergulhamos em sonhos e fracassos, contemplamos as tentativas dos personagens se segurarem nas mais absurdas âncora"/>
        <s v="Emocionante e fantástica jornada de encontro e descoberta, lideradas por uma carismática cadela. Os personagens precisaram se perder para se encontrarem. Complementares, polos opostos unidos por Dinka. Dois universos que finalmente colidem."/>
        <s v="Subverteu dogmas consolidados do estilo, brincou com o papel dos vilões dessas histórias com doses bem altas de humor. Esperava nada, mas me entregou um livro divertido. As vezes a falta de expectativa ajuda bastante."/>
        <s v="Mama, incrível jornada fincada na maternidade. Mildred é a pedra angular e a bússola da família. O epicentro, pois, todos que se afastam de sua presença sem constituir sua própria família se perde. Mas sua presença também é danosa. Endurecida pela vida de"/>
        <s v="Uma relação fraternal é sempre complexa. Repleta de memórias, momentos bons e ruins, amores compartilhados, sofrimentos compartilhados, mas cada um sob sua ótica. Kit e Josie personifica bem isso, as mesmas experiências sofridas gerando traumas e memórias"/>
        <s v="Franny sente o mundo, sente o instinto de andar, desbravar e conhecer. Sente os seres vivos de seu entorno, sobretudo as aves. Instintiva e conectada ao planeta precisa migrar, como os primeiros homens a sair da África e colonizar as demais terra. Por sen"/>
        <s v="Trama inteligente, cenário bacana, revelação interessante, mas me cansava os pensamentos retumbantes da protagonista. Emoções e lembranças que batiam e ecoavam e ecoavam várias vezes de forma massante."/>
        <s v="Um carnaval de máscaras e encenações que revelam a crua realidade de uma sociedade feita para proteger o homem e castigar a mulher. Pequenos erros femininos levados falsamente equiparados com diferentes tipos de agressões. Mulheres postas a prova o tempo "/>
        <s v="Costumo desencantar fácil de histórias com vilões e mocinhos bem definidos. Esse dualismo planifica dimensões importantes da natureza humana e não foi muito diferente com essa história. Assim como os exageros de desgraças e bonanças que, ao invés de choca"/>
        <s v="Brilhante formato de obra que nos pega pela mão, nos guia por caminhos que achamos estar seguros e somos completamente jogados no caos e confusão de uma metrópole em formação repleta de fracassos e falcatruas. O sucesso é feito de sorte, golpes e mesmos f"/>
        <s v="Van Pelt trabalhou de forma muito interessante o conceito de família, tanto laços de sangue quanto de família escolhida. Com bastante realismo tratou as pessoas como são, defeitos e qualidades, acertos e erros, principalmente aqueles distantes. Posso incl"/>
        <s v="A criança vem inapta, sem força e sem voz. Mas, em toda fragilidade, foi um terremoto transformador. O mais velho foi completamente tragado e sobrepujado. A do meio repelida e lançada ao longe. Os pais viveram em seus escombros. E o ultimo a mercê do que "/>
        <s v="Kamila entrou fundo em dramas pessoais e familiares para explorar a política atual. A quem somo fiéis quando o estado e os familiares estão em polos opostos? Pessoas deixam de ser cidadãos por erros e, caso sim, nosso valor como pessoa é pelo que fazemos "/>
        <s v="Crime em área rural, cidade pequenas e todos se conhecem, a polícia não esperava por isso. Com esse enredo Pablo cria um bom protagonista que cru enfrenta seu primeiro grande crime. Fragilizado pela saúdo e inseguro de suas escolhas, mas com um sexto sent"/>
        <s v="Tia Mame me marcou e, com certeza, Patrick estava certo em dizer que ela era uma personagem inesquecível. Mame representa o século XX, cheio de afetações, de desperdício e criatividade. É a mulher que mesmo no começo do século, já se colocava de igual par"/>
        <s v="Com um senso de humor incrível e personagens tremendamente cativantes, Virginie Grimaldi nos leva para dentro desse apartamento dividido e, com isso, para o interior desses personagens tão críveis e tão bem elaborados. Mergulhamos em seus traumas e alegri"/>
        <s v="A estrutura da desigualdade escancarada. A mulher preta desprestigiada em oportunidade tem os sonhos esmagados por duas gerações. Tanto talento que não foi reconhecido. A família desintegrada por racismo, seja ele direto ou estrutural. Seja por crimes a f"/>
        <s v="É impossível terminar o livro e não fazer paralelos ao crescimento da extrema direita e as mesmas estratégias de causar medo e controle nazista, também não ligar a invasão genocida de Israel na Palestina e a resposta terrorista do Hamas deixando os palest"/>
        <s v="Laferrière, personagem e auto retorna ao Haiti e descreve o que é estar de volta, pertencer, reconhecer e revisitar. O texto ágil, soltos, como pensamentos em estar confortável, sem pensar demais no que fazer ou como se comportar, o pensamento de apenas e"/>
        <s v="De todos os entendimentos e simbologias evocadas por Socorro, o que me prendeu foi a imigração. O nascimento de Cida em terra distante, desmemoriada, fragilizada e desamparada me fez pensar muito naqueles que partem. Como sobreviver em terra nova, como en"/>
        <s v="Acostumado com a retórica propagandista americana, fui surpreendido por um Vietnã repleto de pérolas de sabedoria e paciência, algo para se trazer para a vida. De uma história recente repleta de invasões e barbaridades, que, mesmo que criando monstros, nã"/>
        <s v="Em uma mansão no interior, isolados dos meio externo, isolados mesmo do empregador, cuidar de duas crianças pode ser mais complicado do que parece. O medo poderia levar a alucinação ou realmente havia coisas não explicadas? Poderias as crianças serem tão "/>
        <s v="Slocumb escreve uma história híbrida, quase autobiográfico, sobre a jornada de um músico negro na arte clássica e, em meio a isso, um crime. Em relação a história de formação, as agruras passadas pelo personagem são terríveis e extremamente importantes de"/>
        <s v="Que seja sempre lembrada a injustiça que o povo preto sofreu, principalmente da forma que Jabari contou, humanizando os personagens, este é seu ponte forte. Estes personagens tinham realmente duas cabeças. Uma para os Ladrões, mais quieta, submissa, simpl"/>
        <s v="Criativa premissa de viagem no tempo na resolução de um crime, ainda mais com o detetive sendo uma mãe. A construção dos elementos e símbolos foram cuidadosos, principalmente em relação a Kelly, fio realmente tapeado. Em relação a Clio, era óbvio, mas iss"/>
        <s v="Murilo é Roberto. Fechado a si e a merce de terceiros. Transportado para todos os cantos por Gabbriela, Francesca, Lídia. É casa para Camilo, e casco para Roberto. Francesca também é Roberto. Feminino-masculino, ancestral em suas palavras e vivência, asqu"/>
        <s v="Fiquei feliz em conhecer a figura de Sarah Forber Bonetta, mas não gostei da forma que foi contado. Bryce na tentativa de emular Jane Austin fez um texto que achei canastrão, de grande superficialidade que dissolve a grandiosa vida da personagem real em u"/>
        <s v="A vida negra, principalmente em período de crises, é apostar a vida. A cada passo alguém pronto para lhe tirar algo, como a vida, dinheiro e dignidade. A cada negativa e abandono uma chance de apostar tudo no crime ou na fantasia do vício. E são tantos nã"/>
        <s v="Heaberlin acerta em mesclar a ciência com o a vidência, essa descrita de forma bem vívida. Acerta em revelar a malícia e a manipulação dos teóricos da conspiração e os lucros que eles conquistam para apaziguar pessoas vazias que precisam desesperadamente "/>
        <s v="A precarização do trabalho e a desvalorização do trabalhador perante ao capital, temas tão atuais, foi a cerne do texto de Lao She. Quando o trabalho, que a tudo produz, mas nada mais vale, se torna se torna vítima da máquina moedora de gente de um capita"/>
        <s v="Um carrossel de desgraças a atrocidades clichês de como o ocidente enxerga o oriental. Quase sempre órfãos, meninas levadas a prostituição, encontram pessoas que ou são mestres boníssimos e sapientes ou criaturas vis. Também, claro, um amor de viés bissex"/>
        <s v="De uma inocência tão doce diante da carnalidade do sexo. Os meandros da mente bem explorados nos jovens personagens tão convictos de seus valores de uma forma que só os jovens conseguem ser. Belo livro."/>
        <s v="Kate Solly disse que deu um pouco de sua personalidade para cada personagem. Bom, deu ara ver. Cada um deles era apenas um pedaço, um traço superficial que passa longe de ser um todo. Estes personagens era chatos, além de chatos, eram fracos, caricatos, s"/>
        <s v="A história de Patrick é contada com tanta proximidade, sob sua ótica limpa e sem afetação. Entendemos quem ele é, o que pensa, seu âmago, dores, desejos, inocência e profundidade de forma muito direta, com uso inteligentíssimo e econômico de palavras. Pat"/>
        <s v="A obra nos remeteu a questões universais nos tempos de Covid. Acabaria? As coisas voltarão ao normal? O que mudaria para sempre? No fim, um pouco de cada. Ainda há Covid e as coisas voltaram, mas nós não somos mais os mesmos. O isolamento foi transformado"/>
        <s v="A quebra da barreira entre o romance e escrever o romance foi sensacional. A alma foi disposta, a verdade nua e crua. O quão agoniante foi a solidão em tempo de covid, para personagem e autora, para todos, afinal. Éramos todos vulneráveis."/>
        <s v="Aventura juvenil muito agradável. Me senti lendo as histórias da Coleção Vaga-Lume, mas com temas atualizados de racismo e homossexualidade. Nada de novo, mas uma jornada agradável de Hugo e seus amigos."/>
        <s v="Uma família que é tão brasileira, apesar da forte particularidade gaúcha. Tão comum no interior. A vida de pobreza do produtor rural cercado de dívidas e veneno. A dependência do mercado que vê apenas o produto, não a vida humana por detrás. Troca-se os s"/>
        <s v="Fui, felizmente. enganado e ludibriado, feito de bobo mesmo. Fui envolvido, fiquei nervoso, apreensivo, preocupado com os personagens que sequer existem. Fiquei íntimo de Oslo, suas florestas e fiordes. Talvez o melhor livro da TAG inéditos que recebi e, "/>
        <s v="Belíssima homenagem a avô. O texto, como ela, é voltado ao passado, curto e curvado, repleto de dialetos a atenção. Outro tema é a morte, no caso, a morte do dialeto. E, em busca da menina morta Domenico remete a busca por esse linguajar moribundo."/>
        <s v="Visceral e devastador. Sofrimento que mata inocência, perversidade que transformam crianças e matam infância, mal gerando mal. Onde quando as autoridades são inimigas ou simplesmente dão as costas, a terra se transforma em campo de batalha. O futuro não e"/>
        <s v="Toda uma estrutura social, religiosa e comportamental para justificar mutilação e tortura. A humanidade sempre empenhada em sangrar mulheres e meninas, em nome de qualquer deus."/>
        <s v="Kafka desnuda o homem de quase tudo, restando apenas seus temores. O trata como um pavão de penas arrancadas que, em suas faltas e perdas, revela a mais humana das almas. Mesmo os animais são extremamente humanos."/>
        <s v="Um mistura de índice cronológico da contemporaneidade com panfletagem. Renan trabalha com temas incríveis e importante, mas apenas em sua superficialidade drenando qualquer emoção, simplificando discussões e esvaziando os personagens. Uma oportunidade per"/>
        <s v="De quem se trata a vida impossível? De La Poderosa em mar profundo? De Salácia e seus milagres? Dos poderes além da vida conhecida? Do pequeno Daniel ou Cristina de vidas interrompidas? De um protagonismo de uma senhora quase otagenária? No final, nada é "/>
        <s v="Sem romantismo e sem caricatura. Entra profunda na pobre personagem que, por meios de traumas, se encontra de forma quase perpétua em estado de lagarta ou pupa, poucos deslumbres de travesti-mariposa. As correntes sociais com elos de medo e controla evisc"/>
        <s v="Muito assertivo na escolha do período, mas com grandes problemas de mudança de escala entre o pessoal e o histórico. Um esvaziava o outro. Há um excesso de pontos de vistas, sendo a da filha do pinto completamente paralelo, ao meu ver. Tratou bem o tema d"/>
        <s v="Cristo, nosso pequeno Atlas que tenta sustentar todo seu mundo nas próprias costas. Amaldiçoado pelo senso de dever, a necessidade de sobreviver e amadurecer, a uma família desestruturada. Cabe a ele o mundo em seu próprio mundo. Cabe suportar a mãe perdi"/>
        <s v="Não consegui gostar muito do livro. Tanto Ben quanto Anna são insuportáveis. Os diários foi um recurso meio besta, tem relato, falso ou não, de um desmaio nesse diário, o que não faz o menor sentido. Tava na cara que Clara estava envolvida."/>
        <s v="O mais incrível da brasilidade é sentir a proximidade com as histórias e com o lexo sendo criado no interior do Espírito Santo. Ler o livro era como passar as manhãs com meu avô, tomando café melado e ouvindo suas histórias. Fui criado ouvindo sobre a Mãe"/>
        <s v="Confusa e particular demais viagem no tempo. No final das contas, essa habilidade não sai da esfera pessoal. Um milagre de quase nada."/>
        <s v="Umas das importâncias da obra é o reflexo da violenta, racista e machista sociedade na época. Forte é a marca e profundos são os problemas da sociedade atual."/>
        <s v="O Avesso da Pele, corte profundo em pessoas feridas. Flagelo do racismo, sociedade de feitores violentos. Como ser feliz em meio a exclusão? Amar em meio ao ódio? Crescer em meio a violência? No avesso da pele todos seriam da mesma cor, por dentro? Não ac"/>
        <s v="Por fim, ediapianamente, todas as decisões dos personagens se voltaram contra eles. Não há perdão, não há clemência, apenas as vítimas, quase sempre as gerações mais novas, das cadeias de erros perpetuados."/>
        <s v="O típico gênio genioso que passa por cima de tudo e de todos, ególatra calculista, base dura e calcada do imenso sucesso automotivo."/>
        <s v="Corte rápido de faca afiada. O sangue não aparece de cara, a dor surge depois do entendimento. Faca sagrada de santos repleta de magia antiga. A dor é crua e sem consolo. A maldade natural e constante."/>
        <s v="O amor é como o mar. Abre e cura feridas. Leva pra longe e trás pra perto. Emerge e submerge segredos. O amor fraternal então é mar profundo. Carregado de calmarias e tempestades. Familiar e misterioso."/>
        <s v="Agruras infindáveis e injustas levam a uma fé de ferro. A promessa de salvação é o único elemento de esperança para os marginalizados, herança cristã dos colonizadores e senhores, os mesmo que promoveram pobreza e o desprezo. Mas em meio a fé, há o homem,"/>
        <s v="Entre depressão e alegrias, auto descoberta e auto enganação, a história se sustenta no bom humor. Mas, pessoalmente, achei só uma bobeirada gostosinha. Que vamos para os próximos."/>
        <s v="Uma história intrincada e nada preguiçosa. Alguns pontos eram óbvios, mas outros me causou bastante surpresa. O tema é incrível, Hitchcock é um gênio e uma grande fonte de inspiração. Vingança, dor e delírio também são bons temas para explorar. Mas, por f"/>
        <s v="A auto-descoberta é um terreno escuro, de água gelada e profunda. Em sociedade opressora é ainda mais desafiadora, tempestade de raios. Como saber quem se é quando não se poder ser nada? Incrível jornada e belíssimo no sentir."/>
        <s v="Fascinante, bem humorado e repleto de esperança. O fim da vida não é ultimato de aventuras e o envelhecimento não é promessa de retidão."/>
        <s v="A violência geracional da construção do masculino e feminino em uma ótica machista. Tudo é permitido aquele detentor do valor macho, tudo é privado a detentora do feminino. Quanto se pode sacrificar em nome desse sistema? Como punir quem foge da conveniên"/>
        <s v="Chimamanda conta a África personificado em suas mulheres. Elas em diferentes perfis. Podem ser soltas e empoderadas, mas presa a idias românticos inalcançáveis. Podem ser fortes e de sucesso, mas corrompidas mesmo fazendo o certo. Podem estar longe, mas p"/>
        <s v="Opressão, preconceito e luta é a matriz com que se cria o bandoleiro altino. Desde Lampião e Zapata, Murieta lutou e morreu por junstiça."/>
        <s v="Delírio e solidão, fetiche e lembrança, culpa e tristeza. Os meandros da mente pantanosa e sombria de uma jovem."/>
        <s v="A manutenção do poder levou a atos extremos de desumanização. Levados a condições de lutar pela vida o dia todo e todos os dias, as pessoas se isolam na auto-sobrevivência, não tem espaço para mais ninguém. A morte é cotidiana e o sofrimento diária encour"/>
        <s v="Caí como um patinho em cada dica falsa. Freida brinca com o leitor, insinua conclusões, mascara realidades, brinca com nossa percepção. Fio feito de besta e fui feliz."/>
        <s v="Um sofrimento geracional, máculas de uma sociedade injusta com os negros, mas especialmente cruel com mulheres negras. Como construir dignidade com tijolos de abusos? Com ser livre presos em histórias de escravidão? O abuso permeia tudo e desse sofrimento"/>
        <s v="Apesar da ótima escolha de cenário/período histórico, os personagens beiravam ao insuportável. Texto inchado, repetitivo, fatos narrados duas vezes sem qualquer acréscimo na história. Lutei em cada página e fico triste pela minha (ainda) incapacidade de l"/>
        <s v="Profundo mergulho nas profundezas de Luis. De seu imenso eu podemos notar a complexidade das relações de violência, raízes e frutos. Olhando para si e ele olha para os demais, como um grande espelho que vê refletido a sua versão de seus parentes, com um p"/>
        <s v="Letra de sal e mar, texto de pedra molhada e dura. A poesia é como as plantas dos rochedos, de arestas longas e belas flores. Sentimos Neruda isolado, mas de uma forma confortável, finalmente livre, uma gota no mar tumultuado."/>
        <s v="Um pouco menos impressionante que os demais, mas Tom Riddle é um excelente personagem."/>
        <s v="Ballet de idas e voltas, amores e ódios. Enquanto as protagonistas brilham nas suas idas e voltas um pouco retumbantes demais os coadjuvantes brilham pouco, como se usassem uma  máscara. "/>
        <s v="Afinal, o demônios estão no amor. Um amor vindo do abandono e no colhimento dos negros. Amor a uma tradição não herdada, mas recebida. O demônio está no amor a tradições e no medo do desconhecido. Está na incompreensão e no desejo. Está no prender e podar"/>
        <s v="O livro nos deixa perdido na floresta sem resposta, às vezes é longo demais, como se errássemos a trilha. Outras vezes é direto, certeiro e, até mesmo, cruel. Como leitor eu achei um pouco inchado e toda a parte do Sluiter uma perda de tempo, mas isso não"/>
        <s v="Debocha e revela o provincianismo americano, não só novaiorquino. Esse tipo de provincianismo vemos até hoje em vários locais da América, fruto da colonização e o desejo herdado de se transformar em um pastiche da sociedade colonizadora. Esta, já diferent"/>
        <s v="As vezes, tudo o que precisamos é de um exemplo. Alguém para mudar as estruturas e romper barreiras, barreiras auto-impostas."/>
        <s v="Na beira do abismo duas almas se encontram. Uma amizade que representa um alívio, um dar de mãos, um suspiro de afago."/>
        <s v="Subúrbio político, econômico e geográfico. Isolado e juvenil, as regras de violência e força, de superstição e imaginação. Por fim, o djinn tanto existe como exerceu o medo a ele atribuído."/>
        <s v="Knulp atravessa as converções social, a hipocrisia de uma vida pré-estabelecida e para o preço pela liberdade e solidão."/>
        <s v="Das masmorras da barbárie humana um crime é investigado e, a cada passo, mais se revela até onde vai a crueldade humana. Livro que causa indignação e revolta, que nos traz um leve acalanto em meio a desumanização. E, além de tudo, nos mostra até que pondo"/>
        <s v="Crime e investigação em um texto inflado que cansa. Fala bem sobre obsessão, mas se perde em excessos e em um final forçadamente metalinguístico. E Kiera não teve uma evolução como personagem, a mesma voz, sempre."/>
        <s v="O efeito borboleta descrito com lindos paralalismos. O quanto de nossa vivência é consequencia? O quanto dessas consequencias são de atitudes nossas? Qual o preço de se doar pelo outros e, esse sacrifício, é realmente só pessoal ou compartilhadas por aque"/>
        <s v="Uma menina com uma criança sobrevivendo a um mundo de abandono, de predadores e aproveitadores. Maya confunde sonho com realidade, transforma emoção em impulso, desejo em arrependimentos. Perde-se de si e perde o próprio filho em uma mente jovem que é inc"/>
        <s v="Jornada incrível cerceada tanto de morte quanto por muita vida. Crescer junto de Alice  de seus coadjuvantes foi engrandecedor. Cada acerto e cada erro, cada decepção e conquista me foi sentida por dentro. Grande obra."/>
        <s v="A vida humana é complexa, profunda e sensível. E a companhia de um animal de estimação ajuda a confortar essa turbulenta viagem. O fim dessa jornada é ainda mais complicado, pois o passado retumba, incertezas e inseguranças constantes, arrependimentos que"/>
        <s v="O carisma da protagonista é imenso, consegue sustentar um enredo que, às vezes é inflado ou apressado. O uso do true crime foi brilhante, instigante, Ben também é um bom personagem. Só não gostei muito do final apressado, um desmascarar mágico e a falta d"/>
        <s v="Muitas mortes ocorrem. A morte de uma vila e de familiares. A morte de uma identidade e de um habitat. A morte de um rio e de toda simbologia. um livro sobre o luto, uma batalha quase sempre perdida. uma batalha sempre importante."/>
        <s v="O texto é como a floresta. Grande, labiríntico, se perde várias vezes. O mistério se esvai nessa escuridão, no fim, pouco importa. Uma história que seria melhor apreciada se fosse menor."/>
        <s v="Me fez pensar em muitas coisas que não fazem sentido é be engraçado."/>
        <s v="Não tem nada para falar, mas o livro é legal."/>
        <s v="Viver a borda da decadência mental e vital, os personagens se permitem, finalmente, se olhar. A morte os aproxima a vida mais do que nunca e mais do que tudo. Em três meses preenchem anos de lacuna e esse momento será a base de todo o que vier depois."/>
        <s v="Não pode jogar lixo na natureza, não pode cortar as águas e poluir o mar."/>
        <s v="O teatro de banalidades e pequeneza sempre diverte. A cerne latino-americana exposta em absurdos. Marca indelével do colonialismo, herança de pequenos grandes poderes."/>
        <s v="O livro é ruim terrível e horroroso."/>
        <s v="Muito bom."/>
        <s v="Bom e engraçado."/>
        <s v="Terrível."/>
        <s v="Mais ou menos, não achei muito interessante."/>
        <s v="O ponto de vista assimétrico fez Ellie perceber Homa quase idealizada, uma santa de causas sagradas. Entendo que essa pode ser a ótima do amor, mas me incomodou um pouco. No entanto, essa visão caolha é o mote de todo regime fundamentalista, de todo extre"/>
        <s v="O livro é muito bom, por que é engraçado."/>
        <s v="O livro é muito bom, por que também é engraçado, 'de comédia."/>
        <s v="McEwan constrói a mente dos personagens como um labirinto complexo de humanidade e, bem no fundo, guarda seu minotauro de maldade e canalhice. Mostra que a ficção não alcança a realidade e que para se criar um mito, basta um boato."/>
        <s v="O amor, principalmente o amor-próprio, sofre no terreno pedregoso do luto. Amar é se doar, mas, para isso, é preciso ultrapassar a barreira do luto, as correntes da tristeza e permitir-se ser feliz."/>
        <s v="O livro é bom."/>
        <s v="A busca da palavra. A mulher, doadora e em seu fim, busca a palavra ouvida e entrega a palavra escrita. O homem, também doador e ainda em movimento, entrega a palava ouvida e recebe a escrita. Essa busca pela palavra, tanto no começo quanto no fim, em rit"/>
        <s v="Os personagens representam bem a Venezuela. São maculados, feridos, sequestrados e mal-tratado por um ou mais estado totalitário. Triste realidade latina onde o homem se torna maior que a causa e, em nome de um mito, crimes são permitidos."/>
        <s v="Os personagens são visto da ótima poética, como reflexos em poças de água. O amor e a dor, o físico e o mental, é tudo em uma perspectiva interna, emocional, no sobrescrito. E no fim, fica a maior sinopse sobre o amor e guerra que, para ambos, tudo vale p"/>
        <s v="Ilha formanda por abandono, negros trazidos da diáspora africana, raros sobreviventes caraíbas já destituídos de si, colonizadores sempre a pensar em seus países de origem. Mães mortas ou não mães, mães ausentes ou presentes, assim como os pais. Todos soz"/>
        <s v="Barreto pinta o subúrbio com incríveis personagens realistas e fascinantes , bem Naturalista, expõe as maselas e prisões raciais e misógenas, a liberdade dos favorecidos e a realidade de uma sociedade segregada. Pobre Clara, tão vítima que foi apagada até"/>
        <s v="As cartão são como balsas no tempo revelando, aos poucos, a hidrografia e os meandros da alma de Sybil. Poderosa e afiada mente já em seu delta."/>
        <s v="Um mergulho no conturbado pensar imaturo. A personagem se perde em duas vivências distintas e, nessa fissura, cai em derrocada, em decadência. Do amor e do sucesso colheu a confusão e a revolta."/>
        <s v="Nota-se que são correspondência entre poetas. A profundidade dos conselhos, os pedidos de percepção e paciência, uma grande dose de olhar."/>
        <s v="Chato, muito chato e muito ruim."/>
        <s v="Mais ou menos, livro muito infantil."/>
        <s v="A escravidão foi um dos períodos mais sangrentos e injusto da história recente e transformar a vida de Junie, uma escrava, em um romance gótico com arquétipo de dorama foi, para mim, uma imensa atenuação. Mesmo que o objetivo da autora não seja explorar o"/>
        <s v="Leg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1" cacheId="0" dataCaption="" compact="0" compactData="0">
  <location ref="A4:J60" firstHeaderRow="0" firstDataRow="3" firstDataCol="2" rowPageCount="1" colPageCount="1"/>
  <pivotFields>
    <pivotField name="Leitor" axis="axisPage" compact="0" outline="0" multipleItemSelectionAllowed="1" showAll="0">
      <items>
        <item x="0"/>
        <item h="1" x="1"/>
        <item h="1" x="2"/>
        <item t="default"/>
      </items>
    </pivotField>
    <pivotField name="Continente" axis="axisRow" compact="0" outline="0" multipleItemSelectionAllowed="1" showAll="0" sortType="ascending" defaultSubtotal="0">
      <items>
        <item x="5"/>
        <item x="3"/>
        <item x="0"/>
        <item x="2"/>
        <item x="1"/>
        <item x="4"/>
      </items>
    </pivotField>
    <pivotField name="Região" axis="axisRow" compact="0" outline="0" multipleItemSelectionAllowed="1" showAll="0" sortType="ascending" defaultSubtotal="0">
      <items>
        <item x="14"/>
        <item x="9"/>
        <item x="3"/>
        <item x="0"/>
        <item x="10"/>
        <item x="11"/>
        <item x="2"/>
        <item x="4"/>
        <item x="6"/>
        <item x="8"/>
        <item x="5"/>
        <item x="1"/>
        <item x="13"/>
        <item x="12"/>
        <item x="7"/>
      </items>
    </pivotField>
    <pivotField name="País" axis="axisRow" compact="0" outline="0" multipleItemSelectionAllowed="1" showAll="0" sortType="ascending">
      <items>
        <item x="53"/>
        <item x="8"/>
        <item x="28"/>
        <item x="13"/>
        <item x="51"/>
        <item x="21"/>
        <item x="42"/>
        <item x="27"/>
        <item x="19"/>
        <item x="0"/>
        <item x="31"/>
        <item x="26"/>
        <item x="16"/>
        <item x="29"/>
        <item x="10"/>
        <item x="32"/>
        <item x="24"/>
        <item x="45"/>
        <item x="30"/>
        <item x="14"/>
        <item x="5"/>
        <item x="15"/>
        <item x="36"/>
        <item x="9"/>
        <item x="25"/>
        <item x="1"/>
        <item x="20"/>
        <item x="12"/>
        <item x="46"/>
        <item x="41"/>
        <item x="4"/>
        <item x="6"/>
        <item x="38"/>
        <item x="47"/>
        <item x="39"/>
        <item x="34"/>
        <item x="49"/>
        <item x="17"/>
        <item x="11"/>
        <item x="43"/>
        <item x="2"/>
        <item x="35"/>
        <item x="52"/>
        <item x="7"/>
        <item x="37"/>
        <item x="22"/>
        <item x="48"/>
        <item x="18"/>
        <item x="40"/>
        <item x="33"/>
        <item x="23"/>
        <item x="3"/>
        <item x="50"/>
        <item x="44"/>
        <item t="default"/>
      </items>
    </pivotField>
    <pivotField name="Título.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Sexo" compact="0" outline="0" multipleItemSelectionAllowed="1" showAll="0">
      <items>
        <item x="0"/>
        <item x="1"/>
        <item x="2"/>
        <item x="3"/>
        <item x="4"/>
        <item x="5"/>
        <item x="6"/>
        <item x="7"/>
        <item t="default"/>
      </items>
    </pivotField>
    <pivotField name="Edit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Século" axis="axisCol" compact="0" outline="0" multipleItemSelectionAllowed="1" showAll="0" sortType="ascending">
      <items>
        <item x="6"/>
        <item sd="0" x="4"/>
        <item sd="0" x="5"/>
        <item sd="0" x="3"/>
        <item sd="0" x="2"/>
        <item sd="0" x="0"/>
        <item sd="0" x="1"/>
        <item t="default"/>
      </items>
    </pivotField>
    <pivotField name="Década" axis="axisCol" compact="0" outline="0" multipleItemSelectionAllowed="1" showAll="0" sortType="ascending">
      <items>
        <item x="10"/>
        <item x="6"/>
        <item x="9"/>
        <item x="8"/>
        <item x="5"/>
        <item x="0"/>
        <item x="7"/>
        <item x="1"/>
        <item x="2"/>
        <item x="3"/>
        <item x="4"/>
        <item t="default"/>
      </items>
    </pivotField>
    <pivotField name="Ano_public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ês" compact="0" outline="0" multipleItemSelectionAllowed="1" showAll="0">
      <items>
        <item x="0"/>
        <item x="1"/>
        <item x="2"/>
        <item x="3"/>
        <item x="4"/>
        <item x="5"/>
        <item x="6"/>
        <item x="7"/>
        <item x="8"/>
        <item x="9"/>
        <item x="10"/>
        <item x="11"/>
        <item x="12"/>
        <item x="13"/>
        <item x="14"/>
        <item t="default"/>
      </items>
    </pivotField>
    <pivotField name="Ano_lei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igem" compact="0" outline="0" multipleItemSelectionAllowed="1" showAll="0">
      <items>
        <item x="0"/>
        <item x="1"/>
        <item x="2"/>
        <item x="3"/>
        <item x="4"/>
        <item x="5"/>
        <item x="6"/>
        <item x="7"/>
        <item x="8"/>
        <item x="9"/>
        <item x="10"/>
        <item t="default"/>
      </items>
    </pivotField>
    <pivotField name="Formato" compact="0" outline="0" multipleItemSelectionAllowed="1" showAll="0">
      <items>
        <item x="0"/>
        <item x="1"/>
        <item x="2"/>
        <item t="default"/>
      </items>
    </pivotField>
    <pivotField name="Gênero" compact="0" outline="0" multipleItemSelectionAllowed="1" showAll="0">
      <items>
        <item x="0"/>
        <item x="1"/>
        <item x="2"/>
        <item x="3"/>
        <item x="4"/>
        <item x="5"/>
        <item x="6"/>
        <item x="7"/>
        <item x="8"/>
        <item x="9"/>
        <item x="10"/>
        <item x="11"/>
        <item x="12"/>
        <item x="13"/>
        <item x="14"/>
        <item x="15"/>
        <item x="16"/>
        <item x="17"/>
        <item x="18"/>
        <item t="default"/>
      </items>
    </pivotField>
    <pivotField name="Subgên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Tem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Ano.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Mes.H" compact="0" outline="0" multipleItemSelectionAllowed="1" showAll="0">
      <items>
        <item x="0"/>
        <item x="1"/>
        <item x="2"/>
        <item x="3"/>
        <item x="4"/>
        <item x="5"/>
        <item x="6"/>
        <item x="7"/>
        <item x="8"/>
        <item x="9"/>
        <item x="10"/>
        <item x="11"/>
        <item x="12"/>
        <item t="default"/>
      </items>
    </pivotField>
    <pivotField name="Dia.H" compact="0" outline="0" multipleItemSelectionAllowed="1" showAll="0">
      <items>
        <item x="0"/>
        <item x="1"/>
        <item x="2"/>
        <item x="3"/>
        <item x="4"/>
        <item x="5"/>
        <item x="6"/>
        <item x="7"/>
        <item x="8"/>
        <item x="9"/>
        <item x="10"/>
        <item x="11"/>
        <item x="12"/>
        <item x="13"/>
        <item x="14"/>
        <item x="15"/>
        <item t="default"/>
      </items>
    </pivotField>
    <pivotField name="Origem.local" compact="0" outline="0" multipleItemSelectionAllowed="1" showAll="0">
      <items>
        <item x="0"/>
        <item x="1"/>
        <item x="2"/>
        <item x="3"/>
        <item x="4"/>
        <item t="default"/>
      </items>
    </pivotField>
    <pivotField name="Continente.H" compact="0" outline="0" multipleItemSelectionAllowed="1" showAll="0">
      <items>
        <item x="0"/>
        <item x="1"/>
        <item x="2"/>
        <item x="3"/>
        <item x="4"/>
        <item x="5"/>
        <item x="6"/>
        <item x="7"/>
        <item x="8"/>
        <item x="9"/>
        <item t="default"/>
      </items>
    </pivotField>
    <pivotField name="Paí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Loc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Esfe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l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Fanta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e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Idioma" compact="0" outline="0" multipleItemSelectionAllowed="1" showAll="0">
      <items>
        <item x="0"/>
        <item x="1"/>
        <item x="2"/>
        <item x="3"/>
        <item t="default"/>
      </items>
    </pivotField>
    <pivotField name="Enredo/Escrita" compact="0" outline="0" multipleItemSelectionAllowed="1" showAll="0">
      <items>
        <item x="0"/>
        <item x="1"/>
        <item x="2"/>
        <item x="3"/>
        <item x="4"/>
        <item x="5"/>
        <item x="6"/>
        <item x="7"/>
        <item x="8"/>
        <item x="9"/>
        <item x="10"/>
        <item t="default"/>
      </items>
    </pivotField>
    <pivotField name="Personagens/Personas" compact="0" outline="0" multipleItemSelectionAllowed="1" showAll="0">
      <items>
        <item x="0"/>
        <item x="1"/>
        <item x="2"/>
        <item x="3"/>
        <item x="4"/>
        <item x="5"/>
        <item x="6"/>
        <item x="7"/>
        <item x="8"/>
        <item x="9"/>
        <item x="10"/>
        <item x="11"/>
        <item x="12"/>
        <item x="13"/>
        <item t="default"/>
      </items>
    </pivotField>
    <pivotField name="Final/Nota" compact="0" outline="0" multipleItemSelectionAllowed="1" showAll="0">
      <items>
        <item x="0"/>
        <item x="1"/>
        <item x="2"/>
        <item x="3"/>
        <item x="4"/>
        <item x="5"/>
        <item x="6"/>
        <item x="7"/>
        <item x="8"/>
        <item x="9"/>
        <item x="10"/>
        <item x="11"/>
        <item t="default"/>
      </items>
    </pivotField>
    <pivotField name="Somató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Leitura" compact="0" outline="0" multipleItemSelectionAllowed="1" showAll="0">
      <items>
        <item x="0"/>
        <item x="1"/>
        <item x="2"/>
        <item t="default"/>
      </items>
    </pivotField>
    <pivotField name="Página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Página_To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Pont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s>
  <rowFields>
    <field x="1"/>
    <field x="2"/>
    <field x="3"/>
  </rowFields>
  <colFields>
    <field x="7"/>
    <field x="8"/>
  </colFields>
  <pageFields>
    <pageField fld="0"/>
  </pageFields>
  <dataFields>
    <dataField name="Soma - Página_Total" fld="36" subtotal="count" baseField="0"/>
  </dataFields>
</pivotTableDefinition>
</file>

<file path=xl/pivotTables/pivotTable2.xml><?xml version="1.0" encoding="utf-8"?>
<pivotTableDefinition xmlns="http://schemas.openxmlformats.org/spreadsheetml/2006/main" name="T2" cacheId="0" dataCaption="" compact="0" compactData="0">
  <location ref="A6:D87" firstHeaderRow="0" firstDataRow="3" firstDataCol="0" rowPageCount="1" colPageCount="1"/>
  <pivotFields>
    <pivotField name="Leitor" axis="axisPage" compact="0" outline="0" multipleItemSelectionAllowed="1" showAll="0">
      <items>
        <item x="0"/>
        <item h="1" x="1"/>
        <item h="1" x="2"/>
        <item t="default"/>
      </items>
    </pivotField>
    <pivotField name="Continente" compact="0" outline="0" multipleItemSelectionAllowed="1" showAll="0">
      <items>
        <item x="0"/>
        <item x="1"/>
        <item x="2"/>
        <item x="3"/>
        <item x="4"/>
        <item x="5"/>
        <item t="default"/>
      </items>
    </pivotField>
    <pivotField name="Região" compact="0" outline="0" multipleItemSelectionAllowed="1" showAll="0">
      <items>
        <item x="0"/>
        <item x="1"/>
        <item x="2"/>
        <item x="3"/>
        <item x="4"/>
        <item x="5"/>
        <item x="6"/>
        <item x="7"/>
        <item x="8"/>
        <item x="9"/>
        <item x="10"/>
        <item x="11"/>
        <item x="12"/>
        <item x="13"/>
        <item x="14"/>
        <item t="default"/>
      </items>
    </pivotField>
    <pivotField name="Paí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Título.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Sexo" compact="0" outline="0" multipleItemSelectionAllowed="1" showAll="0">
      <items>
        <item x="0"/>
        <item x="1"/>
        <item x="2"/>
        <item x="3"/>
        <item x="4"/>
        <item x="5"/>
        <item x="6"/>
        <item x="7"/>
        <item t="default"/>
      </items>
    </pivotField>
    <pivotField name="Edit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Século" compact="0" outline="0" multipleItemSelectionAllowed="1" showAll="0">
      <items>
        <item x="0"/>
        <item x="1"/>
        <item x="2"/>
        <item x="3"/>
        <item x="4"/>
        <item x="5"/>
        <item x="6"/>
        <item t="default"/>
      </items>
    </pivotField>
    <pivotField name="Década" compact="0" outline="0" multipleItemSelectionAllowed="1" showAll="0">
      <items>
        <item x="0"/>
        <item x="1"/>
        <item x="2"/>
        <item x="3"/>
        <item x="4"/>
        <item x="5"/>
        <item x="6"/>
        <item x="7"/>
        <item x="8"/>
        <item x="9"/>
        <item x="10"/>
        <item t="default"/>
      </items>
    </pivotField>
    <pivotField name="Ano_public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ês" compact="0" outline="0" multipleItemSelectionAllowed="1" showAll="0">
      <items>
        <item x="0"/>
        <item x="1"/>
        <item x="2"/>
        <item x="3"/>
        <item x="4"/>
        <item x="5"/>
        <item x="6"/>
        <item x="7"/>
        <item x="8"/>
        <item x="9"/>
        <item x="10"/>
        <item x="11"/>
        <item x="12"/>
        <item x="13"/>
        <item x="14"/>
        <item t="default"/>
      </items>
    </pivotField>
    <pivotField name="Ano_lei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igem" compact="0" outline="0" multipleItemSelectionAllowed="1" showAll="0">
      <items>
        <item x="0"/>
        <item x="1"/>
        <item x="2"/>
        <item x="3"/>
        <item x="4"/>
        <item x="5"/>
        <item x="6"/>
        <item x="7"/>
        <item x="8"/>
        <item x="9"/>
        <item x="10"/>
        <item t="default"/>
      </items>
    </pivotField>
    <pivotField name="Formato" axis="axisRow" compact="0" outline="0" multipleItemSelectionAllowed="1" showAll="0" sortType="ascending">
      <items>
        <item x="2"/>
        <item x="1"/>
        <item x="0"/>
        <item t="default"/>
      </items>
    </pivotField>
    <pivotField name="Gênero" axis="axisRow" compact="0" outline="0" multipleItemSelectionAllowed="1" showAll="0" sortType="ascending" defaultSubtotal="0">
      <items>
        <item x="18"/>
        <item x="9"/>
        <item x="2"/>
        <item x="10"/>
        <item x="4"/>
        <item x="7"/>
        <item x="5"/>
        <item x="16"/>
        <item x="15"/>
        <item x="6"/>
        <item x="17"/>
        <item x="11"/>
        <item x="13"/>
        <item x="1"/>
        <item x="12"/>
        <item x="8"/>
        <item x="3"/>
        <item x="0"/>
        <item x="14"/>
      </items>
    </pivotField>
    <pivotField name="Subgênero" axis="axisRow" compact="0" outline="0" multipleItemSelectionAllowed="1" showAll="0" sortType="ascending">
      <items>
        <item x="53"/>
        <item x="46"/>
        <item x="10"/>
        <item x="19"/>
        <item x="30"/>
        <item x="39"/>
        <item x="1"/>
        <item x="47"/>
        <item x="12"/>
        <item x="33"/>
        <item x="25"/>
        <item x="40"/>
        <item x="13"/>
        <item x="52"/>
        <item x="36"/>
        <item x="14"/>
        <item x="2"/>
        <item x="27"/>
        <item x="43"/>
        <item x="50"/>
        <item x="35"/>
        <item x="18"/>
        <item x="41"/>
        <item x="49"/>
        <item x="31"/>
        <item x="29"/>
        <item x="17"/>
        <item x="3"/>
        <item x="15"/>
        <item x="44"/>
        <item x="45"/>
        <item x="0"/>
        <item x="38"/>
        <item x="26"/>
        <item x="24"/>
        <item x="9"/>
        <item x="5"/>
        <item x="48"/>
        <item x="7"/>
        <item x="28"/>
        <item x="23"/>
        <item x="20"/>
        <item x="51"/>
        <item x="8"/>
        <item x="21"/>
        <item x="42"/>
        <item x="34"/>
        <item x="32"/>
        <item x="11"/>
        <item x="4"/>
        <item x="22"/>
        <item x="37"/>
        <item x="16"/>
        <item x="6"/>
        <item t="default"/>
      </items>
    </pivotField>
    <pivotField name="Tem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Ano.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Mes.H" compact="0" outline="0" multipleItemSelectionAllowed="1" showAll="0">
      <items>
        <item x="0"/>
        <item x="1"/>
        <item x="2"/>
        <item x="3"/>
        <item x="4"/>
        <item x="5"/>
        <item x="6"/>
        <item x="7"/>
        <item x="8"/>
        <item x="9"/>
        <item x="10"/>
        <item x="11"/>
        <item x="12"/>
        <item t="default"/>
      </items>
    </pivotField>
    <pivotField name="Dia.H" compact="0" outline="0" multipleItemSelectionAllowed="1" showAll="0">
      <items>
        <item x="0"/>
        <item x="1"/>
        <item x="2"/>
        <item x="3"/>
        <item x="4"/>
        <item x="5"/>
        <item x="6"/>
        <item x="7"/>
        <item x="8"/>
        <item x="9"/>
        <item x="10"/>
        <item x="11"/>
        <item x="12"/>
        <item x="13"/>
        <item x="14"/>
        <item x="15"/>
        <item t="default"/>
      </items>
    </pivotField>
    <pivotField name="Origem.local" compact="0" outline="0" multipleItemSelectionAllowed="1" showAll="0">
      <items>
        <item x="0"/>
        <item x="1"/>
        <item x="2"/>
        <item x="3"/>
        <item x="4"/>
        <item t="default"/>
      </items>
    </pivotField>
    <pivotField name="Continente.H" compact="0" outline="0" multipleItemSelectionAllowed="1" showAll="0">
      <items>
        <item x="0"/>
        <item x="1"/>
        <item x="2"/>
        <item x="3"/>
        <item x="4"/>
        <item x="5"/>
        <item x="6"/>
        <item x="7"/>
        <item x="8"/>
        <item x="9"/>
        <item t="default"/>
      </items>
    </pivotField>
    <pivotField name="Paí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Loc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Esfe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l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Fanta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e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Idioma" compact="0" outline="0" multipleItemSelectionAllowed="1" showAll="0">
      <items>
        <item x="0"/>
        <item x="1"/>
        <item x="2"/>
        <item x="3"/>
        <item t="default"/>
      </items>
    </pivotField>
    <pivotField name="Enredo/Escrita" compact="0" outline="0" multipleItemSelectionAllowed="1" showAll="0">
      <items>
        <item x="0"/>
        <item x="1"/>
        <item x="2"/>
        <item x="3"/>
        <item x="4"/>
        <item x="5"/>
        <item x="6"/>
        <item x="7"/>
        <item x="8"/>
        <item x="9"/>
        <item x="10"/>
        <item t="default"/>
      </items>
    </pivotField>
    <pivotField name="Personagens/Personas" compact="0" outline="0" multipleItemSelectionAllowed="1" showAll="0">
      <items>
        <item x="0"/>
        <item x="1"/>
        <item x="2"/>
        <item x="3"/>
        <item x="4"/>
        <item x="5"/>
        <item x="6"/>
        <item x="7"/>
        <item x="8"/>
        <item x="9"/>
        <item x="10"/>
        <item x="11"/>
        <item x="12"/>
        <item x="13"/>
        <item t="default"/>
      </items>
    </pivotField>
    <pivotField name="Final/Nota" compact="0" outline="0" multipleItemSelectionAllowed="1" showAll="0">
      <items>
        <item x="0"/>
        <item x="1"/>
        <item x="2"/>
        <item x="3"/>
        <item x="4"/>
        <item x="5"/>
        <item x="6"/>
        <item x="7"/>
        <item x="8"/>
        <item x="9"/>
        <item x="10"/>
        <item x="11"/>
        <item t="default"/>
      </items>
    </pivotField>
    <pivotField name="Somató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Leitura" compact="0" outline="0" multipleItemSelectionAllowed="1" showAll="0">
      <items>
        <item x="0"/>
        <item x="1"/>
        <item x="2"/>
        <item t="default"/>
      </items>
    </pivotField>
    <pivotField name="Págin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Página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Pont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s>
  <rowFields>
    <field x="14"/>
    <field x="15"/>
    <field x="16"/>
  </rowFields>
  <pageFields>
    <pageField fld="0"/>
  </pageFields>
  <dataFields>
    <dataField name="SUM of Página_Total" fld="37" baseField="0"/>
  </dataFields>
</pivotTableDefinition>
</file>

<file path=xl/pivotTables/pivotTable3.xml><?xml version="1.0" encoding="utf-8"?>
<pivotTableDefinition xmlns="http://schemas.openxmlformats.org/spreadsheetml/2006/main" name="T3" cacheId="0" dataCaption="" compact="0" compactData="0">
  <location ref="A5:G98" firstHeaderRow="0" firstDataRow="6" firstDataCol="0" rowPageCount="1" colPageCount="1"/>
  <pivotFields>
    <pivotField name="Leitor" axis="axisPage" compact="0" outline="0" multipleItemSelectionAllowed="1" showAll="0">
      <items>
        <item x="0"/>
        <item h="1" x="1"/>
        <item h="1" x="2"/>
        <item t="default"/>
      </items>
    </pivotField>
    <pivotField name="Continente" compact="0" outline="0" multipleItemSelectionAllowed="1" showAll="0">
      <items>
        <item x="0"/>
        <item x="1"/>
        <item x="2"/>
        <item x="3"/>
        <item x="4"/>
        <item x="5"/>
        <item t="default"/>
      </items>
    </pivotField>
    <pivotField name="Região" compact="0" outline="0" multipleItemSelectionAllowed="1" showAll="0">
      <items>
        <item x="0"/>
        <item x="1"/>
        <item x="2"/>
        <item x="3"/>
        <item x="4"/>
        <item x="5"/>
        <item x="6"/>
        <item x="7"/>
        <item x="8"/>
        <item x="9"/>
        <item x="10"/>
        <item x="11"/>
        <item x="12"/>
        <item x="13"/>
        <item x="14"/>
        <item t="default"/>
      </items>
    </pivotField>
    <pivotField name="Paí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Título.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Sexo" compact="0" outline="0" multipleItemSelectionAllowed="1" showAll="0">
      <items>
        <item x="0"/>
        <item x="1"/>
        <item x="2"/>
        <item x="3"/>
        <item x="4"/>
        <item x="5"/>
        <item x="6"/>
        <item x="7"/>
        <item t="default"/>
      </items>
    </pivotField>
    <pivotField name="Edit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Século" compact="0" outline="0" multipleItemSelectionAllowed="1" showAll="0">
      <items>
        <item x="0"/>
        <item x="1"/>
        <item x="2"/>
        <item x="3"/>
        <item x="4"/>
        <item x="5"/>
        <item x="6"/>
        <item t="default"/>
      </items>
    </pivotField>
    <pivotField name="Década" compact="0" outline="0" multipleItemSelectionAllowed="1" showAll="0">
      <items>
        <item x="0"/>
        <item x="1"/>
        <item x="2"/>
        <item x="3"/>
        <item x="4"/>
        <item x="5"/>
        <item x="6"/>
        <item x="7"/>
        <item x="8"/>
        <item x="9"/>
        <item x="10"/>
        <item t="default"/>
      </items>
    </pivotField>
    <pivotField name="Ano_publica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na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ês" compact="0" outline="0" multipleItemSelectionAllowed="1" showAll="0">
      <items>
        <item x="0"/>
        <item x="1"/>
        <item x="2"/>
        <item x="3"/>
        <item x="4"/>
        <item x="5"/>
        <item x="6"/>
        <item x="7"/>
        <item x="8"/>
        <item x="9"/>
        <item x="10"/>
        <item x="11"/>
        <item x="12"/>
        <item x="13"/>
        <item x="14"/>
        <item t="default"/>
      </items>
    </pivotField>
    <pivotField name="Ano_lei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igem" compact="0" outline="0" multipleItemSelectionAllowed="1" showAll="0">
      <items>
        <item x="0"/>
        <item x="1"/>
        <item x="2"/>
        <item x="3"/>
        <item x="4"/>
        <item x="5"/>
        <item x="6"/>
        <item x="7"/>
        <item x="8"/>
        <item x="9"/>
        <item x="10"/>
        <item t="default"/>
      </items>
    </pivotField>
    <pivotField name="Formato" compact="0" outline="0" multipleItemSelectionAllowed="1" showAll="0">
      <items>
        <item x="0"/>
        <item x="1"/>
        <item x="2"/>
        <item t="default"/>
      </items>
    </pivotField>
    <pivotField name="Gênero" compact="0" outline="0" multipleItemSelectionAllowed="1" showAll="0">
      <items>
        <item x="0"/>
        <item x="1"/>
        <item x="2"/>
        <item x="3"/>
        <item x="4"/>
        <item x="5"/>
        <item x="6"/>
        <item x="7"/>
        <item x="8"/>
        <item x="9"/>
        <item x="10"/>
        <item x="11"/>
        <item x="12"/>
        <item x="13"/>
        <item x="14"/>
        <item x="15"/>
        <item x="16"/>
        <item x="17"/>
        <item x="18"/>
        <item t="default"/>
      </items>
    </pivotField>
    <pivotField name="Subgên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Tem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Ano.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Mes.H" compact="0" outline="0" multipleItemSelectionAllowed="1" showAll="0">
      <items>
        <item x="0"/>
        <item x="1"/>
        <item x="2"/>
        <item x="3"/>
        <item x="4"/>
        <item x="5"/>
        <item x="6"/>
        <item x="7"/>
        <item x="8"/>
        <item x="9"/>
        <item x="10"/>
        <item x="11"/>
        <item x="12"/>
        <item t="default"/>
      </items>
    </pivotField>
    <pivotField name="Dia.H" compact="0" outline="0" multipleItemSelectionAllowed="1" showAll="0">
      <items>
        <item x="0"/>
        <item x="1"/>
        <item x="2"/>
        <item x="3"/>
        <item x="4"/>
        <item x="5"/>
        <item x="6"/>
        <item x="7"/>
        <item x="8"/>
        <item x="9"/>
        <item x="10"/>
        <item x="11"/>
        <item x="12"/>
        <item x="13"/>
        <item x="14"/>
        <item x="15"/>
        <item t="default"/>
      </items>
    </pivotField>
    <pivotField name="Origem.local" axis="axisRow" compact="0" outline="0" multipleItemSelectionAllowed="1" showAll="0" sortType="ascending">
      <items>
        <item x="4"/>
        <item x="3"/>
        <item x="1"/>
        <item x="0"/>
        <item x="2"/>
        <item t="default"/>
      </items>
    </pivotField>
    <pivotField name="Continente.H" axis="axisRow" compact="0" outline="0" multipleItemSelectionAllowed="1" showAll="0" sortType="ascending">
      <items>
        <item x="9"/>
        <item x="3"/>
        <item x="0"/>
        <item x="8"/>
        <item x="4"/>
        <item x="6"/>
        <item x="2"/>
        <item x="1"/>
        <item x="7"/>
        <item x="5"/>
        <item t="default"/>
      </items>
    </pivotField>
    <pivotField name="País.H" axis="axisRow" compact="0" outline="0" multipleItemSelectionAllowed="1" showAll="0" sortType="ascending">
      <items>
        <item x="77"/>
        <item sd="0" x="54"/>
        <item sd="0" x="48"/>
        <item sd="0" x="16"/>
        <item sd="0" x="62"/>
        <item sd="0" x="43"/>
        <item sd="0" x="3"/>
        <item sd="0" x="44"/>
        <item sd="0" x="47"/>
        <item sd="0" x="50"/>
        <item sd="0" x="40"/>
        <item sd="0" x="41"/>
        <item sd="0" x="0"/>
        <item sd="0" x="35"/>
        <item sd="0" x="51"/>
        <item sd="0" x="36"/>
        <item sd="0" x="24"/>
        <item sd="0" x="72"/>
        <item sd="0" x="49"/>
        <item sd="0" x="6"/>
        <item sd="0" x="66"/>
        <item sd="0" x="31"/>
        <item sd="0" x="18"/>
        <item sd="0" x="75"/>
        <item sd="0" x="9"/>
        <item sd="0" x="69"/>
        <item sd="0" x="2"/>
        <item sd="0" x="23"/>
        <item sd="0" x="33"/>
        <item sd="0" x="22"/>
        <item sd="0" x="10"/>
        <item sd="0" x="53"/>
        <item sd="0" x="28"/>
        <item sd="0" x="59"/>
        <item sd="0" x="60"/>
        <item sd="0" x="1"/>
        <item sd="0" x="29"/>
        <item sd="0" x="30"/>
        <item sd="0" x="17"/>
        <item sd="0" x="8"/>
        <item sd="0" x="61"/>
        <item sd="0" x="32"/>
        <item sd="0" x="64"/>
        <item sd="0" x="7"/>
        <item sd="0" x="12"/>
        <item sd="0" x="21"/>
        <item sd="0" x="58"/>
        <item sd="0" x="11"/>
        <item sd="0" x="38"/>
        <item sd="0" x="25"/>
        <item sd="0" x="65"/>
        <item sd="0" x="70"/>
        <item sd="0" x="52"/>
        <item sd="0" x="37"/>
        <item sd="0" x="15"/>
        <item sd="0" x="67"/>
        <item sd="0" x="71"/>
        <item sd="0" x="4"/>
        <item sd="0" x="55"/>
        <item sd="0" x="57"/>
        <item sd="0" x="13"/>
        <item sd="0" x="76"/>
        <item sd="0" x="14"/>
        <item sd="0" x="56"/>
        <item sd="0" x="27"/>
        <item sd="0" x="45"/>
        <item sd="0" x="73"/>
        <item sd="0" x="39"/>
        <item sd="0" x="63"/>
        <item sd="0" x="42"/>
        <item sd="0" x="34"/>
        <item sd="0" x="46"/>
        <item sd="0" x="5"/>
        <item sd="0" x="19"/>
        <item sd="0" x="20"/>
        <item sd="0" x="74"/>
        <item sd="0" x="68"/>
        <item sd="0" x="26"/>
        <item t="default"/>
      </items>
    </pivotField>
    <pivotField name="Local" axis="axisRow" compact="0" outline="0" multipleItemSelectionAllowed="1" showAll="0" sortType="ascending" defaultSubtotal="0">
      <items>
        <item x="202"/>
        <item x="99"/>
        <item x="120"/>
        <item x="139"/>
        <item x="201"/>
        <item x="13"/>
        <item x="82"/>
        <item x="166"/>
        <item x="113"/>
        <item x="154"/>
        <item x="98"/>
        <item x="187"/>
        <item x="173"/>
        <item x="114"/>
        <item x="111"/>
        <item x="134"/>
        <item x="196"/>
        <item x="83"/>
        <item x="150"/>
        <item x="122"/>
        <item x="2"/>
        <item x="151"/>
        <item x="93"/>
        <item x="29"/>
        <item x="75"/>
        <item x="58"/>
        <item x="71"/>
        <item x="195"/>
        <item x="162"/>
        <item x="43"/>
        <item x="94"/>
        <item x="179"/>
        <item x="79"/>
        <item x="11"/>
        <item x="158"/>
        <item x="128"/>
        <item x="90"/>
        <item x="145"/>
        <item x="181"/>
        <item x="67"/>
        <item x="9"/>
        <item x="84"/>
        <item x="168"/>
        <item x="33"/>
        <item x="21"/>
        <item x="63"/>
        <item x="175"/>
        <item x="3"/>
        <item x="42"/>
        <item x="27"/>
        <item x="91"/>
        <item x="130"/>
        <item x="32"/>
        <item x="103"/>
        <item x="100"/>
        <item x="167"/>
        <item x="28"/>
        <item x="62"/>
        <item x="86"/>
        <item x="88"/>
        <item x="194"/>
        <item x="136"/>
        <item x="15"/>
        <item x="51"/>
        <item x="180"/>
        <item x="155"/>
        <item x="105"/>
        <item x="161"/>
        <item x="38"/>
        <item x="61"/>
        <item x="92"/>
        <item x="164"/>
        <item x="123"/>
        <item x="144"/>
        <item x="171"/>
        <item x="1"/>
        <item x="31"/>
        <item x="104"/>
        <item x="70"/>
        <item x="189"/>
        <item x="152"/>
        <item x="121"/>
        <item x="182"/>
        <item x="135"/>
        <item x="56"/>
        <item x="22"/>
        <item x="125"/>
        <item x="157"/>
        <item x="10"/>
        <item x="108"/>
        <item x="163"/>
        <item x="127"/>
        <item x="52"/>
        <item x="8"/>
        <item x="106"/>
        <item x="64"/>
        <item x="77"/>
        <item x="174"/>
        <item x="198"/>
        <item x="69"/>
        <item x="176"/>
        <item x="186"/>
        <item x="87"/>
        <item x="165"/>
        <item x="102"/>
        <item x="12"/>
        <item x="141"/>
        <item x="66"/>
        <item x="137"/>
        <item x="40"/>
        <item x="76"/>
        <item x="124"/>
        <item x="170"/>
        <item x="19"/>
        <item x="48"/>
        <item x="110"/>
        <item x="149"/>
        <item x="35"/>
        <item x="153"/>
        <item x="44"/>
        <item x="54"/>
        <item x="57"/>
        <item x="49"/>
        <item x="37"/>
        <item x="95"/>
        <item x="172"/>
        <item x="74"/>
        <item x="78"/>
        <item x="169"/>
        <item x="188"/>
        <item x="97"/>
        <item x="115"/>
        <item x="190"/>
        <item x="132"/>
        <item x="18"/>
        <item x="129"/>
        <item x="72"/>
        <item x="14"/>
        <item x="117"/>
        <item x="177"/>
        <item x="118"/>
        <item x="7"/>
        <item x="160"/>
        <item x="45"/>
        <item x="25"/>
        <item x="116"/>
        <item x="142"/>
        <item x="131"/>
        <item x="6"/>
        <item x="16"/>
        <item x="53"/>
        <item x="24"/>
        <item x="73"/>
        <item x="178"/>
        <item x="143"/>
        <item x="60"/>
        <item x="159"/>
        <item x="112"/>
        <item x="197"/>
        <item x="0"/>
        <item x="26"/>
        <item x="68"/>
        <item x="41"/>
        <item x="126"/>
        <item x="50"/>
        <item x="133"/>
        <item x="184"/>
        <item x="109"/>
        <item x="183"/>
        <item x="156"/>
        <item x="193"/>
        <item x="17"/>
        <item x="85"/>
        <item x="140"/>
        <item x="5"/>
        <item x="47"/>
        <item x="119"/>
        <item x="192"/>
        <item x="199"/>
        <item x="191"/>
        <item x="30"/>
        <item x="96"/>
        <item x="20"/>
        <item x="185"/>
        <item x="4"/>
        <item x="36"/>
        <item x="55"/>
        <item x="59"/>
        <item x="107"/>
        <item x="148"/>
        <item x="200"/>
        <item x="138"/>
        <item x="146"/>
        <item x="34"/>
        <item x="89"/>
        <item x="23"/>
        <item x="65"/>
        <item x="46"/>
        <item x="101"/>
        <item x="80"/>
        <item x="39"/>
        <item x="147"/>
        <item x="81"/>
      </items>
    </pivotField>
    <pivotField name="Cenário" axis="axisRow" compact="0" outline="0" multipleItemSelectionAllowed="1" showAll="0" sortType="ascending">
      <items>
        <item x="280"/>
        <item x="127"/>
        <item x="151"/>
        <item x="183"/>
        <item x="35"/>
        <item x="24"/>
        <item x="215"/>
        <item x="263"/>
        <item x="253"/>
        <item x="276"/>
        <item x="106"/>
        <item x="169"/>
        <item x="171"/>
        <item x="264"/>
        <item x="143"/>
        <item x="132"/>
        <item x="258"/>
        <item x="32"/>
        <item x="34"/>
        <item x="173"/>
        <item x="144"/>
        <item x="193"/>
        <item x="176"/>
        <item x="175"/>
        <item x="147"/>
        <item x="155"/>
        <item x="3"/>
        <item x="107"/>
        <item x="202"/>
        <item x="154"/>
        <item x="217"/>
        <item x="136"/>
        <item x="271"/>
        <item x="199"/>
        <item x="11"/>
        <item x="2"/>
        <item x="102"/>
        <item x="181"/>
        <item x="119"/>
        <item x="275"/>
        <item x="245"/>
        <item x="172"/>
        <item x="22"/>
        <item x="273"/>
        <item x="218"/>
        <item x="62"/>
        <item x="120"/>
        <item x="184"/>
        <item x="247"/>
        <item x="266"/>
        <item x="270"/>
        <item x="17"/>
        <item x="212"/>
        <item x="224"/>
        <item x="231"/>
        <item x="116"/>
        <item x="33"/>
        <item x="192"/>
        <item x="25"/>
        <item x="174"/>
        <item x="261"/>
        <item x="41"/>
        <item x="198"/>
        <item x="225"/>
        <item x="165"/>
        <item x="219"/>
        <item x="203"/>
        <item x="114"/>
        <item x="206"/>
        <item x="267"/>
        <item x="83"/>
        <item x="96"/>
        <item x="61"/>
        <item x="37"/>
        <item x="13"/>
        <item x="168"/>
        <item x="65"/>
        <item x="166"/>
        <item x="51"/>
        <item x="18"/>
        <item x="257"/>
        <item x="162"/>
        <item x="53"/>
        <item x="105"/>
        <item x="129"/>
        <item x="48"/>
        <item x="110"/>
        <item x="117"/>
        <item x="178"/>
        <item x="104"/>
        <item x="70"/>
        <item x="194"/>
        <item x="208"/>
        <item x="238"/>
        <item x="252"/>
        <item x="216"/>
        <item x="221"/>
        <item x="88"/>
        <item x="259"/>
        <item x="5"/>
        <item x="128"/>
        <item x="82"/>
        <item x="39"/>
        <item x="109"/>
        <item x="233"/>
        <item x="188"/>
        <item x="142"/>
        <item x="209"/>
        <item x="156"/>
        <item x="16"/>
        <item x="227"/>
        <item x="1"/>
        <item x="135"/>
        <item x="134"/>
        <item x="99"/>
        <item x="20"/>
        <item x="254"/>
        <item x="93"/>
        <item x="23"/>
        <item x="262"/>
        <item x="146"/>
        <item x="185"/>
        <item x="186"/>
        <item x="237"/>
        <item x="204"/>
        <item x="152"/>
        <item x="272"/>
        <item x="133"/>
        <item x="126"/>
        <item x="75"/>
        <item x="40"/>
        <item x="101"/>
        <item x="161"/>
        <item x="210"/>
        <item x="21"/>
        <item x="14"/>
        <item x="177"/>
        <item x="81"/>
        <item x="138"/>
        <item x="71"/>
        <item x="68"/>
        <item x="121"/>
        <item x="77"/>
        <item x="251"/>
        <item x="36"/>
        <item x="279"/>
        <item x="84"/>
        <item x="98"/>
        <item x="256"/>
        <item x="250"/>
        <item x="92"/>
        <item x="111"/>
        <item x="167"/>
        <item x="213"/>
        <item x="148"/>
        <item x="131"/>
        <item x="239"/>
        <item x="255"/>
        <item x="201"/>
        <item x="179"/>
        <item x="58"/>
        <item x="90"/>
        <item x="38"/>
        <item x="97"/>
        <item x="157"/>
        <item x="230"/>
        <item x="78"/>
        <item x="6"/>
        <item x="214"/>
        <item x="141"/>
        <item x="170"/>
        <item x="242"/>
        <item x="200"/>
        <item x="63"/>
        <item x="85"/>
        <item x="76"/>
        <item x="123"/>
        <item x="12"/>
        <item x="56"/>
        <item x="232"/>
        <item x="95"/>
        <item x="100"/>
        <item x="15"/>
        <item x="229"/>
        <item x="30"/>
        <item x="124"/>
        <item x="49"/>
        <item x="145"/>
        <item x="89"/>
        <item x="243"/>
        <item x="46"/>
        <item x="228"/>
        <item x="223"/>
        <item x="112"/>
        <item x="26"/>
        <item x="260"/>
        <item x="164"/>
        <item x="244"/>
        <item x="226"/>
        <item x="149"/>
        <item x="10"/>
        <item x="220"/>
        <item x="64"/>
        <item x="189"/>
        <item x="44"/>
        <item x="207"/>
        <item x="197"/>
        <item x="235"/>
        <item x="29"/>
        <item x="52"/>
        <item x="50"/>
        <item x="9"/>
        <item x="125"/>
        <item x="72"/>
        <item x="43"/>
        <item x="274"/>
        <item x="94"/>
        <item x="246"/>
        <item x="241"/>
        <item x="67"/>
        <item x="187"/>
        <item x="80"/>
        <item x="66"/>
        <item x="234"/>
        <item x="268"/>
        <item x="158"/>
        <item x="19"/>
        <item x="27"/>
        <item x="28"/>
        <item x="160"/>
        <item x="4"/>
        <item x="45"/>
        <item x="113"/>
        <item x="190"/>
        <item x="240"/>
        <item x="73"/>
        <item x="60"/>
        <item x="163"/>
        <item x="265"/>
        <item x="69"/>
        <item x="153"/>
        <item x="211"/>
        <item x="115"/>
        <item x="87"/>
        <item x="205"/>
        <item x="139"/>
        <item x="0"/>
        <item x="269"/>
        <item x="7"/>
        <item x="222"/>
        <item x="59"/>
        <item x="278"/>
        <item x="150"/>
        <item x="180"/>
        <item x="191"/>
        <item x="118"/>
        <item x="122"/>
        <item x="91"/>
        <item x="236"/>
        <item x="31"/>
        <item x="55"/>
        <item x="74"/>
        <item x="79"/>
        <item x="8"/>
        <item x="137"/>
        <item x="248"/>
        <item x="140"/>
        <item x="249"/>
        <item x="182"/>
        <item x="47"/>
        <item x="42"/>
        <item x="130"/>
        <item x="195"/>
        <item x="86"/>
        <item x="108"/>
        <item x="159"/>
        <item x="54"/>
        <item x="57"/>
        <item x="277"/>
        <item x="196"/>
        <item x="103"/>
        <item t="default"/>
      </items>
    </pivotField>
    <pivotField name="Esfe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l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Fanta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e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Idioma" compact="0" outline="0" multipleItemSelectionAllowed="1" showAll="0">
      <items>
        <item x="0"/>
        <item x="1"/>
        <item x="2"/>
        <item x="3"/>
        <item t="default"/>
      </items>
    </pivotField>
    <pivotField name="Enredo/Escrita" compact="0" outline="0" multipleItemSelectionAllowed="1" showAll="0">
      <items>
        <item x="0"/>
        <item x="1"/>
        <item x="2"/>
        <item x="3"/>
        <item x="4"/>
        <item x="5"/>
        <item x="6"/>
        <item x="7"/>
        <item x="8"/>
        <item x="9"/>
        <item x="10"/>
        <item t="default"/>
      </items>
    </pivotField>
    <pivotField name="Personagens/Personas" compact="0" outline="0" multipleItemSelectionAllowed="1" showAll="0">
      <items>
        <item x="0"/>
        <item x="1"/>
        <item x="2"/>
        <item x="3"/>
        <item x="4"/>
        <item x="5"/>
        <item x="6"/>
        <item x="7"/>
        <item x="8"/>
        <item x="9"/>
        <item x="10"/>
        <item x="11"/>
        <item x="12"/>
        <item x="13"/>
        <item t="default"/>
      </items>
    </pivotField>
    <pivotField name="Final/Nota" compact="0" outline="0" multipleItemSelectionAllowed="1" showAll="0">
      <items>
        <item x="0"/>
        <item x="1"/>
        <item x="2"/>
        <item x="3"/>
        <item x="4"/>
        <item x="5"/>
        <item x="6"/>
        <item x="7"/>
        <item x="8"/>
        <item x="9"/>
        <item x="10"/>
        <item x="11"/>
        <item t="default"/>
      </items>
    </pivotField>
    <pivotField name="Somató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Leitura" compact="0" outline="0" multipleItemSelectionAllowed="1" showAll="0">
      <items>
        <item x="0"/>
        <item x="1"/>
        <item x="2"/>
        <item t="default"/>
      </items>
    </pivotField>
    <pivotField name="Página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Página_Tot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Pont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s>
  <rowFields>
    <field x="21"/>
    <field x="22"/>
    <field x="23"/>
    <field x="24"/>
    <field x="25"/>
  </rowFields>
  <colFields>
    <field x="-2"/>
  </colFields>
  <pageFields>
    <pageField fld="0"/>
  </pageFields>
  <dataFields>
    <dataField name="Soma - Página_Total" fld="36" baseField="0"/>
    <dataField name="COUNT of Páginas" fld="36" subtotal="countNums" baseField="0"/>
  </dataFields>
</pivotTableDefinition>
</file>

<file path=xl/pivotTables/pivotTable4.xml><?xml version="1.0" encoding="utf-8"?>
<pivotTableDefinition xmlns="http://schemas.openxmlformats.org/spreadsheetml/2006/main" name="T4" cacheId="1" dataCaption="" compact="0" compactData="0">
  <location ref="A3:G436" firstHeaderRow="0" firstDataRow="6" firstDataCol="0" rowPageCount="1" colPageCount="1"/>
  <pivotFields>
    <pivotField name="Autor" axis="axisRow" compact="0" outline="0" multipleItemSelectionAllowed="1" showAll="0" sortType="ascending" defaultSubtotal="0">
      <items>
        <item x="369"/>
        <item x="241"/>
        <item x="210"/>
        <item x="139"/>
        <item x="189"/>
        <item x="298"/>
        <item x="359"/>
        <item x="200"/>
        <item x="293"/>
        <item x="358"/>
        <item x="165"/>
        <item x="176"/>
        <item x="305"/>
        <item x="228"/>
        <item x="11"/>
        <item x="283"/>
        <item x="229"/>
        <item x="158"/>
        <item x="341"/>
        <item x="64"/>
        <item x="15"/>
        <item x="303"/>
        <item x="351"/>
        <item x="317"/>
        <item x="103"/>
        <item x="95"/>
        <item x="76"/>
        <item x="164"/>
        <item x="12"/>
        <item x="363"/>
        <item x="169"/>
        <item x="180"/>
        <item x="194"/>
        <item x="51"/>
        <item x="79"/>
        <item x="17"/>
        <item x="129"/>
        <item x="238"/>
        <item x="128"/>
        <item x="184"/>
        <item x="254"/>
        <item x="183"/>
        <item x="35"/>
        <item x="19"/>
        <item x="236"/>
        <item x="273"/>
        <item x="267"/>
        <item x="302"/>
        <item x="346"/>
        <item x="113"/>
        <item x="33"/>
        <item x="232"/>
        <item x="10"/>
        <item x="21"/>
        <item x="104"/>
        <item x="117"/>
        <item x="146"/>
        <item x="243"/>
        <item x="202"/>
        <item x="136"/>
        <item x="220"/>
        <item x="255"/>
        <item x="115"/>
        <item x="138"/>
        <item x="31"/>
        <item x="258"/>
        <item x="124"/>
        <item x="261"/>
        <item x="26"/>
        <item x="127"/>
        <item x="132"/>
        <item x="109"/>
        <item x="32"/>
        <item x="46"/>
        <item x="268"/>
        <item x="250"/>
        <item x="107"/>
        <item x="251"/>
        <item x="167"/>
        <item x="230"/>
        <item x="34"/>
        <item x="277"/>
        <item x="137"/>
        <item x="289"/>
        <item x="148"/>
        <item x="88"/>
        <item x="102"/>
        <item x="330"/>
        <item x="366"/>
        <item x="326"/>
        <item x="74"/>
        <item x="221"/>
        <item x="36"/>
        <item x="249"/>
        <item x="245"/>
        <item x="368"/>
        <item x="327"/>
        <item x="252"/>
        <item x="212"/>
        <item x="110"/>
        <item x="78"/>
        <item x="367"/>
        <item x="118"/>
        <item x="72"/>
        <item x="204"/>
        <item x="52"/>
        <item x="310"/>
        <item x="355"/>
        <item x="55"/>
        <item x="209"/>
        <item x="312"/>
        <item x="309"/>
        <item x="39"/>
        <item x="175"/>
        <item x="337"/>
        <item x="60"/>
        <item x="291"/>
        <item x="322"/>
        <item x="119"/>
        <item x="173"/>
        <item x="80"/>
        <item x="329"/>
        <item x="66"/>
        <item x="323"/>
        <item x="68"/>
        <item x="275"/>
        <item x="101"/>
        <item x="9"/>
        <item x="22"/>
        <item x="166"/>
        <item x="50"/>
        <item x="168"/>
        <item x="207"/>
        <item x="336"/>
        <item x="143"/>
        <item x="179"/>
        <item x="231"/>
        <item x="272"/>
        <item x="333"/>
        <item x="83"/>
        <item x="97"/>
        <item x="324"/>
        <item x="8"/>
        <item x="75"/>
        <item x="5"/>
        <item x="7"/>
        <item x="54"/>
        <item x="240"/>
        <item x="274"/>
        <item x="360"/>
        <item x="304"/>
        <item x="171"/>
        <item x="147"/>
        <item x="162"/>
        <item x="335"/>
        <item x="144"/>
        <item x="353"/>
        <item x="40"/>
        <item x="300"/>
        <item x="325"/>
        <item x="281"/>
        <item x="106"/>
        <item x="288"/>
        <item x="27"/>
        <item x="24"/>
        <item x="62"/>
        <item x="16"/>
        <item x="284"/>
        <item x="192"/>
        <item x="187"/>
        <item x="133"/>
        <item x="197"/>
        <item x="44"/>
        <item x="349"/>
        <item x="343"/>
        <item x="321"/>
        <item x="18"/>
        <item x="160"/>
        <item x="42"/>
        <item x="92"/>
        <item x="67"/>
        <item x="198"/>
        <item x="276"/>
        <item x="279"/>
        <item x="145"/>
        <item x="342"/>
        <item x="116"/>
        <item x="262"/>
        <item x="152"/>
        <item x="190"/>
        <item x="130"/>
        <item x="257"/>
        <item x="150"/>
        <item x="282"/>
        <item x="239"/>
        <item x="82"/>
        <item x="225"/>
        <item x="43"/>
        <item x="227"/>
        <item x="90"/>
        <item x="318"/>
        <item x="280"/>
        <item x="63"/>
        <item x="85"/>
        <item x="294"/>
        <item x="348"/>
        <item x="185"/>
        <item x="172"/>
        <item x="205"/>
        <item x="244"/>
        <item x="361"/>
        <item x="339"/>
        <item x="203"/>
        <item x="278"/>
        <item x="30"/>
        <item x="4"/>
        <item x="314"/>
        <item x="345"/>
        <item x="20"/>
        <item x="98"/>
        <item x="156"/>
        <item x="307"/>
        <item x="365"/>
        <item x="71"/>
        <item x="163"/>
        <item x="340"/>
        <item x="3"/>
        <item x="316"/>
        <item x="299"/>
        <item x="0"/>
        <item x="344"/>
        <item x="357"/>
        <item x="151"/>
        <item x="287"/>
        <item x="216"/>
        <item x="159"/>
        <item x="211"/>
        <item x="142"/>
        <item x="29"/>
        <item x="53"/>
        <item x="13"/>
        <item x="356"/>
        <item x="218"/>
        <item x="188"/>
        <item x="59"/>
        <item x="320"/>
        <item x="214"/>
        <item x="296"/>
        <item x="134"/>
        <item x="120"/>
        <item x="213"/>
        <item x="153"/>
        <item x="178"/>
        <item x="259"/>
        <item x="70"/>
        <item x="222"/>
        <item x="332"/>
        <item x="174"/>
        <item x="105"/>
        <item x="195"/>
        <item x="58"/>
        <item x="23"/>
        <item x="215"/>
        <item x="271"/>
        <item x="226"/>
        <item x="99"/>
        <item x="47"/>
        <item x="89"/>
        <item x="100"/>
        <item x="77"/>
        <item x="201"/>
        <item x="334"/>
        <item x="73"/>
        <item x="313"/>
        <item x="263"/>
        <item x="328"/>
        <item x="111"/>
        <item x="264"/>
        <item x="125"/>
        <item x="126"/>
        <item x="57"/>
        <item x="217"/>
        <item x="84"/>
        <item x="206"/>
        <item x="87"/>
        <item x="208"/>
        <item x="121"/>
        <item x="295"/>
        <item x="364"/>
        <item x="112"/>
        <item x="315"/>
        <item x="96"/>
        <item x="292"/>
        <item x="311"/>
        <item x="354"/>
        <item x="193"/>
        <item x="69"/>
        <item x="61"/>
        <item x="223"/>
        <item x="93"/>
        <item x="94"/>
        <item x="25"/>
        <item x="297"/>
        <item x="2"/>
        <item x="242"/>
        <item x="191"/>
        <item x="237"/>
        <item x="108"/>
        <item x="56"/>
        <item x="196"/>
        <item x="161"/>
        <item x="246"/>
        <item x="260"/>
        <item x="319"/>
        <item x="65"/>
        <item x="285"/>
        <item x="155"/>
        <item x="338"/>
        <item x="270"/>
        <item x="256"/>
        <item x="177"/>
        <item x="235"/>
        <item x="91"/>
        <item x="49"/>
        <item x="306"/>
        <item x="186"/>
        <item x="233"/>
        <item x="269"/>
        <item x="123"/>
        <item x="266"/>
        <item x="131"/>
        <item x="347"/>
        <item x="181"/>
        <item x="154"/>
        <item x="140"/>
        <item x="149"/>
        <item x="253"/>
        <item x="48"/>
        <item x="86"/>
        <item x="135"/>
        <item x="45"/>
        <item x="234"/>
        <item x="81"/>
        <item x="122"/>
        <item x="248"/>
        <item x="308"/>
        <item x="28"/>
        <item x="141"/>
        <item x="290"/>
        <item x="182"/>
        <item x="219"/>
        <item x="14"/>
        <item x="6"/>
        <item x="350"/>
        <item x="114"/>
        <item x="41"/>
        <item x="362"/>
        <item x="247"/>
        <item x="265"/>
        <item x="224"/>
        <item x="352"/>
        <item x="286"/>
        <item x="38"/>
        <item x="331"/>
        <item x="37"/>
        <item x="170"/>
        <item x="157"/>
        <item x="301"/>
        <item x="199"/>
        <item x="1"/>
      </items>
    </pivotField>
    <pivotField name="Título" axis="axisRow" compact="0" outline="0" multipleItemSelectionAllowed="1" showAll="0" sortType="ascending" defaultSubtotal="0">
      <items>
        <item x="464"/>
        <item x="88"/>
        <item x="356"/>
        <item x="298"/>
        <item x="357"/>
        <item x="455"/>
        <item x="146"/>
        <item x="108"/>
        <item x="309"/>
        <item x="279"/>
        <item x="335"/>
        <item x="182"/>
        <item x="152"/>
        <item x="141"/>
        <item x="391"/>
        <item x="403"/>
        <item x="342"/>
        <item x="386"/>
        <item x="457"/>
        <item x="65"/>
        <item x="123"/>
        <item x="67"/>
        <item x="408"/>
        <item x="28"/>
        <item x="206"/>
        <item x="97"/>
        <item x="272"/>
        <item x="95"/>
        <item x="36"/>
        <item x="34"/>
        <item x="313"/>
        <item x="0"/>
        <item x="439"/>
        <item x="137"/>
        <item x="134"/>
        <item x="233"/>
        <item x="81"/>
        <item x="158"/>
        <item x="21"/>
        <item x="332"/>
        <item x="260"/>
        <item x="348"/>
        <item x="90"/>
        <item x="346"/>
        <item x="341"/>
        <item x="305"/>
        <item x="296"/>
        <item x="171"/>
        <item x="170"/>
        <item x="46"/>
        <item x="204"/>
        <item x="202"/>
        <item x="201"/>
        <item x="232"/>
        <item x="106"/>
        <item x="282"/>
        <item x="214"/>
        <item x="198"/>
        <item x="185"/>
        <item x="364"/>
        <item x="221"/>
        <item x="23"/>
        <item x="366"/>
        <item x="363"/>
        <item x="4"/>
        <item x="239"/>
        <item x="237"/>
        <item x="103"/>
        <item x="369"/>
        <item x="430"/>
        <item x="218"/>
        <item x="319"/>
        <item x="314"/>
        <item x="31"/>
        <item x="227"/>
        <item x="109"/>
        <item x="72"/>
        <item x="14"/>
        <item x="226"/>
        <item x="92"/>
        <item x="144"/>
        <item x="55"/>
        <item x="368"/>
        <item x="393"/>
        <item x="86"/>
        <item x="197"/>
        <item x="315"/>
        <item x="284"/>
        <item x="217"/>
        <item x="163"/>
        <item x="412"/>
        <item x="415"/>
        <item x="448"/>
        <item x="447"/>
        <item x="407"/>
        <item x="451"/>
        <item x="420"/>
        <item x="43"/>
        <item x="41"/>
        <item x="40"/>
        <item x="42"/>
        <item x="49"/>
        <item x="317"/>
        <item x="157"/>
        <item x="339"/>
        <item x="446"/>
        <item x="350"/>
        <item x="80"/>
        <item x="245"/>
        <item x="172"/>
        <item x="174"/>
        <item x="111"/>
        <item x="156"/>
        <item x="37"/>
        <item x="215"/>
        <item x="101"/>
        <item x="460"/>
        <item x="251"/>
        <item x="256"/>
        <item x="459"/>
        <item x="388"/>
        <item x="304"/>
        <item x="113"/>
        <item x="287"/>
        <item x="456"/>
        <item x="262"/>
        <item x="179"/>
        <item x="325"/>
        <item x="331"/>
        <item x="311"/>
        <item x="44"/>
        <item x="378"/>
        <item x="327"/>
        <item x="84"/>
        <item x="340"/>
        <item x="438"/>
        <item x="91"/>
        <item x="397"/>
        <item x="328"/>
        <item x="60"/>
        <item x="59"/>
        <item x="104"/>
        <item x="424"/>
        <item x="373"/>
        <item x="6"/>
        <item x="154"/>
        <item x="112"/>
        <item x="184"/>
        <item x="435"/>
        <item x="399"/>
        <item x="429"/>
        <item x="404"/>
        <item x="382"/>
        <item x="71"/>
        <item x="406"/>
        <item x="58"/>
        <item x="345"/>
        <item x="343"/>
        <item x="283"/>
        <item x="94"/>
        <item x="50"/>
        <item x="16"/>
        <item x="243"/>
        <item x="312"/>
        <item x="290"/>
        <item x="276"/>
        <item x="242"/>
        <item x="367"/>
        <item x="263"/>
        <item x="267"/>
        <item x="187"/>
        <item x="126"/>
        <item x="119"/>
        <item x="326"/>
        <item x="210"/>
        <item x="234"/>
        <item x="463"/>
        <item x="374"/>
        <item x="405"/>
        <item x="181"/>
        <item x="1"/>
        <item x="110"/>
        <item x="54"/>
        <item x="83"/>
        <item x="261"/>
        <item x="387"/>
        <item x="292"/>
        <item x="271"/>
        <item x="307"/>
        <item x="124"/>
        <item x="337"/>
        <item x="66"/>
        <item x="7"/>
        <item x="20"/>
        <item x="5"/>
        <item x="57"/>
        <item x="11"/>
        <item x="48"/>
        <item x="8"/>
        <item x="247"/>
        <item x="432"/>
        <item x="130"/>
        <item x="186"/>
        <item x="316"/>
        <item x="294"/>
        <item x="220"/>
        <item x="302"/>
        <item x="143"/>
        <item x="395"/>
        <item x="196"/>
        <item x="398"/>
        <item x="26"/>
        <item x="389"/>
        <item x="188"/>
        <item x="462"/>
        <item x="306"/>
        <item x="413"/>
        <item x="416"/>
        <item x="330"/>
        <item x="160"/>
        <item x="359"/>
        <item x="22"/>
        <item x="461"/>
        <item x="291"/>
        <item x="320"/>
        <item x="358"/>
        <item x="70"/>
        <item x="25"/>
        <item x="344"/>
        <item x="39"/>
        <item x="73"/>
        <item x="120"/>
        <item x="450"/>
        <item x="321"/>
        <item x="2"/>
        <item x="159"/>
        <item x="431"/>
        <item x="114"/>
        <item x="38"/>
        <item x="365"/>
        <item x="402"/>
        <item x="29"/>
        <item x="334"/>
        <item x="289"/>
        <item x="89"/>
        <item x="347"/>
        <item x="323"/>
        <item x="250"/>
        <item x="257"/>
        <item x="264"/>
        <item x="444"/>
        <item x="259"/>
        <item x="384"/>
        <item x="52"/>
        <item x="426"/>
        <item x="351"/>
        <item x="168"/>
        <item x="293"/>
        <item x="381"/>
        <item x="241"/>
        <item x="254"/>
        <item x="270"/>
        <item x="428"/>
        <item x="165"/>
        <item x="360"/>
        <item x="418"/>
        <item x="166"/>
        <item x="419"/>
        <item x="180"/>
        <item x="228"/>
        <item x="390"/>
        <item x="410"/>
        <item x="229"/>
        <item x="173"/>
        <item x="51"/>
        <item x="372"/>
        <item x="303"/>
        <item x="211"/>
        <item x="64"/>
        <item x="222"/>
        <item x="148"/>
        <item x="133"/>
        <item x="139"/>
        <item x="265"/>
        <item x="268"/>
        <item x="175"/>
        <item x="85"/>
        <item x="47"/>
        <item x="352"/>
        <item x="189"/>
        <item x="15"/>
        <item x="62"/>
        <item x="400"/>
        <item x="190"/>
        <item x="224"/>
        <item x="205"/>
        <item x="417"/>
        <item x="440"/>
        <item x="63"/>
        <item x="53"/>
        <item x="87"/>
        <item x="121"/>
        <item x="240"/>
        <item x="349"/>
        <item x="453"/>
        <item x="24"/>
        <item x="380"/>
        <item x="128"/>
        <item x="9"/>
        <item x="98"/>
        <item x="118"/>
        <item x="223"/>
        <item x="99"/>
        <item x="150"/>
        <item x="125"/>
        <item x="301"/>
        <item x="258"/>
        <item x="278"/>
        <item x="107"/>
        <item x="414"/>
        <item x="318"/>
        <item x="93"/>
        <item x="191"/>
        <item x="61"/>
        <item x="396"/>
        <item x="18"/>
        <item x="176"/>
        <item x="194"/>
        <item x="162"/>
        <item x="300"/>
        <item x="273"/>
        <item x="76"/>
        <item x="68"/>
        <item x="207"/>
        <item x="449"/>
        <item x="333"/>
        <item x="445"/>
        <item x="3"/>
        <item x="117"/>
        <item x="105"/>
        <item x="361"/>
        <item x="74"/>
        <item x="10"/>
        <item x="199"/>
        <item x="102"/>
        <item x="248"/>
        <item x="192"/>
        <item x="238"/>
        <item x="138"/>
        <item x="12"/>
        <item x="436"/>
        <item x="131"/>
        <item x="452"/>
        <item x="155"/>
        <item x="338"/>
        <item x="458"/>
        <item x="281"/>
        <item x="79"/>
        <item x="370"/>
        <item x="100"/>
        <item x="145"/>
        <item x="161"/>
        <item x="385"/>
        <item x="375"/>
        <item x="422"/>
        <item x="116"/>
        <item x="78"/>
        <item x="140"/>
        <item x="19"/>
        <item x="203"/>
        <item x="308"/>
        <item x="249"/>
        <item x="355"/>
        <item x="379"/>
        <item x="136"/>
        <item x="336"/>
        <item x="127"/>
        <item x="274"/>
        <item x="275"/>
        <item x="295"/>
        <item x="310"/>
        <item x="443"/>
        <item x="69"/>
        <item x="244"/>
        <item x="56"/>
        <item x="195"/>
        <item x="353"/>
        <item x="377"/>
        <item x="322"/>
        <item x="135"/>
        <item x="425"/>
        <item x="153"/>
        <item x="354"/>
        <item x="219"/>
        <item x="151"/>
        <item x="17"/>
        <item x="427"/>
        <item x="169"/>
        <item x="442"/>
        <item x="122"/>
        <item x="35"/>
        <item x="213"/>
        <item x="297"/>
        <item x="32"/>
        <item x="329"/>
        <item x="433"/>
        <item x="409"/>
        <item x="383"/>
        <item x="27"/>
        <item x="77"/>
        <item x="454"/>
        <item x="177"/>
        <item x="252"/>
        <item x="277"/>
        <item x="437"/>
        <item x="225"/>
        <item x="280"/>
        <item x="209"/>
        <item x="183"/>
        <item x="236"/>
        <item x="266"/>
        <item x="13"/>
        <item x="285"/>
        <item x="193"/>
        <item x="96"/>
        <item x="142"/>
        <item x="147"/>
        <item x="269"/>
        <item x="178"/>
        <item x="212"/>
        <item x="45"/>
        <item x="200"/>
        <item x="230"/>
        <item x="115"/>
        <item x="411"/>
        <item x="255"/>
        <item x="286"/>
        <item x="208"/>
        <item x="253"/>
        <item x="231"/>
        <item x="421"/>
        <item x="434"/>
        <item x="394"/>
        <item x="401"/>
        <item x="235"/>
        <item x="324"/>
        <item x="246"/>
        <item x="75"/>
        <item x="216"/>
        <item x="288"/>
        <item x="362"/>
        <item x="376"/>
        <item x="164"/>
        <item x="371"/>
        <item x="82"/>
        <item x="30"/>
        <item x="423"/>
        <item x="299"/>
        <item x="33"/>
        <item x="149"/>
        <item x="392"/>
        <item x="132"/>
        <item x="167"/>
        <item x="129"/>
        <item x="441"/>
      </items>
    </pivotField>
    <pivotField name="Leitor" axis="axisPage" compact="0" outline="0" multipleItemSelectionAllowed="1" showAll="0">
      <items>
        <item x="0"/>
        <item h="1" x="1"/>
        <item h="1" x="2"/>
        <item t="default"/>
      </items>
    </pivotField>
    <pivotField name="Continente" compact="0" outline="0" multipleItemSelectionAllowed="1" showAll="0">
      <items>
        <item x="0"/>
        <item x="1"/>
        <item x="2"/>
        <item x="3"/>
        <item x="4"/>
        <item x="5"/>
        <item t="default"/>
      </items>
    </pivotField>
    <pivotField name="Região" compact="0" outline="0" multipleItemSelectionAllowed="1" showAll="0">
      <items>
        <item x="0"/>
        <item x="1"/>
        <item x="2"/>
        <item x="3"/>
        <item x="4"/>
        <item x="5"/>
        <item x="6"/>
        <item x="7"/>
        <item x="8"/>
        <item x="9"/>
        <item x="10"/>
        <item x="11"/>
        <item x="12"/>
        <item x="13"/>
        <item x="14"/>
        <item t="default"/>
      </items>
    </pivotField>
    <pivotField name="País" axis="axisRow" compact="0" outline="0" multipleItemSelectionAllowed="1" showAll="0" sortType="ascending" defaultSubtotal="0">
      <items>
        <item x="53"/>
        <item x="8"/>
        <item x="28"/>
        <item x="13"/>
        <item x="51"/>
        <item x="21"/>
        <item x="42"/>
        <item x="27"/>
        <item x="19"/>
        <item x="0"/>
        <item x="31"/>
        <item x="26"/>
        <item x="16"/>
        <item x="29"/>
        <item x="10"/>
        <item x="32"/>
        <item x="24"/>
        <item x="45"/>
        <item x="30"/>
        <item x="14"/>
        <item x="5"/>
        <item x="15"/>
        <item x="36"/>
        <item x="9"/>
        <item x="25"/>
        <item x="1"/>
        <item x="20"/>
        <item x="12"/>
        <item x="46"/>
        <item x="41"/>
        <item x="4"/>
        <item x="6"/>
        <item x="38"/>
        <item x="47"/>
        <item x="39"/>
        <item x="34"/>
        <item x="49"/>
        <item x="17"/>
        <item x="11"/>
        <item x="43"/>
        <item x="2"/>
        <item x="35"/>
        <item x="52"/>
        <item x="7"/>
        <item x="37"/>
        <item x="22"/>
        <item x="48"/>
        <item x="18"/>
        <item x="40"/>
        <item x="33"/>
        <item x="23"/>
        <item x="3"/>
        <item x="50"/>
        <item x="44"/>
      </items>
    </pivotField>
    <pivotField name="Título.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Sexo" compact="0" outline="0" multipleItemSelectionAllowed="1" showAll="0">
      <items>
        <item x="0"/>
        <item x="1"/>
        <item x="2"/>
        <item x="3"/>
        <item x="4"/>
        <item x="5"/>
        <item x="6"/>
        <item x="7"/>
        <item t="default"/>
      </items>
    </pivotField>
    <pivotField name="Edit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name="Século" compact="0" outline="0" multipleItemSelectionAllowed="1" showAll="0">
      <items>
        <item x="0"/>
        <item x="1"/>
        <item x="2"/>
        <item x="3"/>
        <item x="4"/>
        <item x="5"/>
        <item x="6"/>
        <item t="default"/>
      </items>
    </pivotField>
    <pivotField name="Década" compact="0" outline="0" multipleItemSelectionAllowed="1" showAll="0">
      <items>
        <item x="0"/>
        <item x="1"/>
        <item x="2"/>
        <item x="3"/>
        <item x="4"/>
        <item x="5"/>
        <item x="6"/>
        <item x="7"/>
        <item x="8"/>
        <item x="9"/>
        <item x="10"/>
        <item t="default"/>
      </items>
    </pivotField>
    <pivotField name="Ano_publicação" axis="axisRow" compact="0" outline="0" multipleItemSelectionAllowed="1" showAll="0" sortType="ascending" defaultSubtotal="0">
      <items>
        <item x="116"/>
        <item x="48"/>
        <item x="49"/>
        <item x="90"/>
        <item x="103"/>
        <item x="91"/>
        <item x="32"/>
        <item x="62"/>
        <item x="55"/>
        <item x="67"/>
        <item x="11"/>
        <item x="74"/>
        <item x="17"/>
        <item x="18"/>
        <item x="64"/>
        <item x="19"/>
        <item x="20"/>
        <item x="109"/>
        <item x="12"/>
        <item x="21"/>
        <item x="44"/>
        <item x="96"/>
        <item x="22"/>
        <item x="73"/>
        <item x="23"/>
        <item x="92"/>
        <item x="97"/>
        <item x="13"/>
        <item x="98"/>
        <item x="83"/>
        <item x="93"/>
        <item x="24"/>
        <item x="106"/>
        <item x="63"/>
        <item x="68"/>
        <item x="113"/>
        <item x="33"/>
        <item x="115"/>
        <item x="25"/>
        <item x="26"/>
        <item x="40"/>
        <item x="107"/>
        <item x="8"/>
        <item x="45"/>
        <item x="76"/>
        <item x="27"/>
        <item x="0"/>
        <item x="77"/>
        <item x="28"/>
        <item x="66"/>
        <item x="9"/>
        <item x="94"/>
        <item x="110"/>
        <item x="84"/>
        <item x="95"/>
        <item x="38"/>
        <item x="60"/>
        <item x="101"/>
        <item x="78"/>
        <item x="85"/>
        <item x="69"/>
        <item x="112"/>
        <item x="61"/>
        <item x="1"/>
        <item x="39"/>
        <item x="41"/>
        <item x="79"/>
        <item x="100"/>
        <item x="29"/>
        <item x="2"/>
        <item x="30"/>
        <item x="14"/>
        <item x="46"/>
        <item x="15"/>
        <item x="3"/>
        <item x="31"/>
        <item x="57"/>
        <item x="4"/>
        <item x="104"/>
        <item x="36"/>
        <item x="50"/>
        <item x="70"/>
        <item x="47"/>
        <item x="82"/>
        <item x="34"/>
        <item x="58"/>
        <item x="35"/>
        <item x="5"/>
        <item x="6"/>
        <item x="7"/>
        <item x="10"/>
        <item x="42"/>
        <item x="71"/>
        <item x="16"/>
        <item x="56"/>
        <item x="37"/>
        <item x="54"/>
        <item x="43"/>
        <item x="51"/>
        <item x="59"/>
        <item x="53"/>
        <item x="52"/>
        <item x="89"/>
        <item x="65"/>
        <item x="72"/>
        <item x="87"/>
        <item x="80"/>
        <item x="75"/>
        <item x="81"/>
        <item x="86"/>
        <item x="88"/>
        <item x="99"/>
        <item x="102"/>
        <item x="105"/>
        <item x="108"/>
        <item x="111"/>
        <item x="114"/>
      </items>
    </pivotField>
    <pivotField na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ês" compact="0" outline="0" multipleItemSelectionAllowed="1" showAll="0">
      <items>
        <item x="0"/>
        <item x="1"/>
        <item x="2"/>
        <item x="3"/>
        <item x="4"/>
        <item x="5"/>
        <item x="6"/>
        <item x="7"/>
        <item x="8"/>
        <item x="9"/>
        <item x="10"/>
        <item x="11"/>
        <item x="12"/>
        <item x="13"/>
        <item x="14"/>
        <item t="default"/>
      </items>
    </pivotField>
    <pivotField name="Ano_lei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Origem" compact="0" outline="0" multipleItemSelectionAllowed="1" showAll="0">
      <items>
        <item x="0"/>
        <item x="1"/>
        <item x="2"/>
        <item x="3"/>
        <item x="4"/>
        <item x="5"/>
        <item x="6"/>
        <item x="7"/>
        <item x="8"/>
        <item x="9"/>
        <item x="10"/>
        <item t="default"/>
      </items>
    </pivotField>
    <pivotField name="Formato" compact="0" outline="0" multipleItemSelectionAllowed="1" showAll="0">
      <items>
        <item x="0"/>
        <item x="1"/>
        <item x="2"/>
        <item t="default"/>
      </items>
    </pivotField>
    <pivotField name="Gênero" compact="0" outline="0" multipleItemSelectionAllowed="1" showAll="0">
      <items>
        <item x="0"/>
        <item x="1"/>
        <item x="2"/>
        <item x="3"/>
        <item x="4"/>
        <item x="5"/>
        <item x="6"/>
        <item x="7"/>
        <item x="8"/>
        <item x="9"/>
        <item x="10"/>
        <item x="11"/>
        <item x="12"/>
        <item x="13"/>
        <item x="14"/>
        <item x="15"/>
        <item x="16"/>
        <item x="17"/>
        <item x="18"/>
        <item t="default"/>
      </items>
    </pivotField>
    <pivotField name="Subgên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Tem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Ano.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Mes.H" compact="0" outline="0" multipleItemSelectionAllowed="1" showAll="0">
      <items>
        <item x="0"/>
        <item x="1"/>
        <item x="2"/>
        <item x="3"/>
        <item x="4"/>
        <item x="5"/>
        <item x="6"/>
        <item x="7"/>
        <item x="8"/>
        <item x="9"/>
        <item x="10"/>
        <item x="11"/>
        <item x="12"/>
        <item t="default"/>
      </items>
    </pivotField>
    <pivotField name="Dia.H" compact="0" outline="0" multipleItemSelectionAllowed="1" showAll="0">
      <items>
        <item x="0"/>
        <item x="1"/>
        <item x="2"/>
        <item x="3"/>
        <item x="4"/>
        <item x="5"/>
        <item x="6"/>
        <item x="7"/>
        <item x="8"/>
        <item x="9"/>
        <item x="10"/>
        <item x="11"/>
        <item x="12"/>
        <item x="13"/>
        <item x="14"/>
        <item x="15"/>
        <item t="default"/>
      </items>
    </pivotField>
    <pivotField name="Origem.local" compact="0" outline="0" multipleItemSelectionAllowed="1" showAll="0">
      <items>
        <item x="0"/>
        <item x="1"/>
        <item x="2"/>
        <item x="3"/>
        <item x="4"/>
        <item t="default"/>
      </items>
    </pivotField>
    <pivotField name="Continente.H" compact="0" outline="0" multipleItemSelectionAllowed="1" showAll="0">
      <items>
        <item x="0"/>
        <item x="1"/>
        <item x="2"/>
        <item x="3"/>
        <item x="4"/>
        <item x="5"/>
        <item x="6"/>
        <item x="7"/>
        <item x="8"/>
        <item x="9"/>
        <item t="default"/>
      </items>
    </pivotField>
    <pivotField name="Paí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Loc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Cenár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Esfe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ultu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 name="Fantas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e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Idioma" compact="0" outline="0" multipleItemSelectionAllowed="1" showAll="0">
      <items>
        <item x="0"/>
        <item x="1"/>
        <item x="2"/>
        <item x="3"/>
        <item t="default"/>
      </items>
    </pivotField>
    <pivotField name="Enredo/Escrita" compact="0" outline="0" multipleItemSelectionAllowed="1" showAll="0">
      <items>
        <item x="0"/>
        <item x="1"/>
        <item x="2"/>
        <item x="3"/>
        <item x="4"/>
        <item x="5"/>
        <item x="6"/>
        <item x="7"/>
        <item x="8"/>
        <item x="9"/>
        <item x="10"/>
        <item t="default"/>
      </items>
    </pivotField>
    <pivotField name="Personagens/Personas" compact="0" outline="0" multipleItemSelectionAllowed="1" showAll="0">
      <items>
        <item x="0"/>
        <item x="1"/>
        <item x="2"/>
        <item x="3"/>
        <item x="4"/>
        <item x="5"/>
        <item x="6"/>
        <item x="7"/>
        <item x="8"/>
        <item x="9"/>
        <item x="10"/>
        <item x="11"/>
        <item x="12"/>
        <item x="13"/>
        <item t="default"/>
      </items>
    </pivotField>
    <pivotField name="Final/Nota" compact="0" outline="0" multipleItemSelectionAllowed="1" showAll="0">
      <items>
        <item x="0"/>
        <item x="1"/>
        <item x="2"/>
        <item x="3"/>
        <item x="4"/>
        <item x="5"/>
        <item x="6"/>
        <item x="7"/>
        <item x="8"/>
        <item x="9"/>
        <item x="10"/>
        <item x="11"/>
        <item t="default"/>
      </items>
    </pivotField>
    <pivotField name="Somatóri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Leitura" compact="0" outline="0" multipleItemSelectionAllowed="1" showAll="0">
      <items>
        <item x="0"/>
        <item x="1"/>
        <item x="2"/>
        <item t="default"/>
      </items>
    </pivotField>
    <pivotField name="Págin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Página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Pont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Resenha" axis="axisRow" compact="0" outline="0" multipleItemSelectionAllowed="1" showAll="0" sortType="ascending">
      <items>
        <item x="0"/>
        <item x="16"/>
        <item x="219"/>
        <item x="200"/>
        <item x="179"/>
        <item x="284"/>
        <item x="330"/>
        <item x="37"/>
        <item x="28"/>
        <item x="186"/>
        <item x="153"/>
        <item x="235"/>
        <item x="110"/>
        <item x="340"/>
        <item x="89"/>
        <item x="240"/>
        <item x="96"/>
        <item x="257"/>
        <item x="76"/>
        <item x="19"/>
        <item x="290"/>
        <item x="122"/>
        <item x="104"/>
        <item x="258"/>
        <item x="74"/>
        <item x="223"/>
        <item x="253"/>
        <item x="12"/>
        <item x="259"/>
        <item x="61"/>
        <item x="60"/>
        <item x="62"/>
        <item x="158"/>
        <item x="54"/>
        <item x="171"/>
        <item x="162"/>
        <item x="152"/>
        <item x="310"/>
        <item x="251"/>
        <item x="286"/>
        <item x="183"/>
        <item x="20"/>
        <item x="11"/>
        <item x="244"/>
        <item x="160"/>
        <item x="298"/>
        <item x="140"/>
        <item x="178"/>
        <item x="184"/>
        <item x="281"/>
        <item x="195"/>
        <item x="30"/>
        <item x="208"/>
        <item x="203"/>
        <item x="180"/>
        <item x="207"/>
        <item x="293"/>
        <item x="216"/>
        <item x="159"/>
        <item x="335"/>
        <item x="85"/>
        <item x="77"/>
        <item x="36"/>
        <item x="301"/>
        <item x="93"/>
        <item x="260"/>
        <item x="297"/>
        <item x="106"/>
        <item x="334"/>
        <item x="263"/>
        <item x="119"/>
        <item x="218"/>
        <item x="321"/>
        <item x="233"/>
        <item x="68"/>
        <item x="291"/>
        <item x="181"/>
        <item x="212"/>
        <item x="338"/>
        <item x="287"/>
        <item x="65"/>
        <item x="206"/>
        <item x="161"/>
        <item x="239"/>
        <item x="87"/>
        <item x="70"/>
        <item x="73"/>
        <item x="199"/>
        <item x="39"/>
        <item x="165"/>
        <item x="131"/>
        <item x="274"/>
        <item x="174"/>
        <item x="279"/>
        <item x="232"/>
        <item x="151"/>
        <item x="248"/>
        <item x="306"/>
        <item x="237"/>
        <item x="271"/>
        <item x="44"/>
        <item x="305"/>
        <item x="25"/>
        <item x="154"/>
        <item x="187"/>
        <item x="102"/>
        <item x="268"/>
        <item x="100"/>
        <item x="185"/>
        <item x="176"/>
        <item x="243"/>
        <item x="255"/>
        <item x="75"/>
        <item x="300"/>
        <item x="32"/>
        <item x="108"/>
        <item x="125"/>
        <item x="289"/>
        <item x="33"/>
        <item x="105"/>
        <item x="3"/>
        <item x="29"/>
        <item x="92"/>
        <item x="201"/>
        <item x="191"/>
        <item x="118"/>
        <item x="241"/>
        <item x="9"/>
        <item x="4"/>
        <item x="13"/>
        <item x="22"/>
        <item x="245"/>
        <item x="225"/>
        <item x="211"/>
        <item x="282"/>
        <item x="101"/>
        <item x="47"/>
        <item x="139"/>
        <item x="17"/>
        <item x="90"/>
        <item x="41"/>
        <item x="10"/>
        <item x="51"/>
        <item x="26"/>
        <item x="6"/>
        <item x="50"/>
        <item x="285"/>
        <item x="198"/>
        <item x="43"/>
        <item x="250"/>
        <item x="34"/>
        <item x="143"/>
        <item x="80"/>
        <item x="126"/>
        <item x="229"/>
        <item x="172"/>
        <item x="262"/>
        <item x="45"/>
        <item x="134"/>
        <item x="46"/>
        <item x="91"/>
        <item x="111"/>
        <item x="252"/>
        <item x="35"/>
        <item x="18"/>
        <item x="94"/>
        <item x="72"/>
        <item x="222"/>
        <item x="48"/>
        <item x="333"/>
        <item x="197"/>
        <item x="149"/>
        <item x="142"/>
        <item x="83"/>
        <item x="167"/>
        <item x="309"/>
        <item x="56"/>
        <item x="266"/>
        <item x="236"/>
        <item x="256"/>
        <item x="304"/>
        <item x="242"/>
        <item x="220"/>
        <item x="341"/>
        <item x="295"/>
        <item x="69"/>
        <item x="121"/>
        <item x="145"/>
        <item x="339"/>
        <item x="323"/>
        <item x="63"/>
        <item x="82"/>
        <item x="24"/>
        <item x="55"/>
        <item x="227"/>
        <item x="150"/>
        <item x="130"/>
        <item x="327"/>
        <item x="314"/>
        <item x="166"/>
        <item x="124"/>
        <item x="312"/>
        <item x="270"/>
        <item x="320"/>
        <item x="249"/>
        <item x="302"/>
        <item x="127"/>
        <item x="117"/>
        <item x="38"/>
        <item x="272"/>
        <item x="21"/>
        <item x="317"/>
        <item x="315"/>
        <item x="157"/>
        <item x="205"/>
        <item x="337"/>
        <item x="129"/>
        <item x="114"/>
        <item x="98"/>
        <item x="280"/>
        <item x="328"/>
        <item x="133"/>
        <item x="49"/>
        <item x="276"/>
        <item x="311"/>
        <item x="163"/>
        <item x="71"/>
        <item x="307"/>
        <item x="115"/>
        <item x="169"/>
        <item x="141"/>
        <item x="329"/>
        <item x="325"/>
        <item x="326"/>
        <item x="319"/>
        <item x="173"/>
        <item x="299"/>
        <item x="14"/>
        <item x="189"/>
        <item x="273"/>
        <item x="224"/>
        <item x="202"/>
        <item x="99"/>
        <item x="324"/>
        <item x="53"/>
        <item x="217"/>
        <item x="128"/>
        <item x="210"/>
        <item x="318"/>
        <item x="214"/>
        <item x="313"/>
        <item x="278"/>
        <item x="116"/>
        <item x="288"/>
        <item x="175"/>
        <item x="79"/>
        <item x="331"/>
        <item x="332"/>
        <item x="7"/>
        <item x="136"/>
        <item x="192"/>
        <item x="193"/>
        <item x="147"/>
        <item x="2"/>
        <item x="164"/>
        <item x="67"/>
        <item x="66"/>
        <item x="277"/>
        <item x="120"/>
        <item x="64"/>
        <item x="294"/>
        <item x="247"/>
        <item x="137"/>
        <item x="215"/>
        <item x="146"/>
        <item x="78"/>
        <item x="155"/>
        <item x="109"/>
        <item x="194"/>
        <item x="204"/>
        <item x="23"/>
        <item x="269"/>
        <item x="123"/>
        <item x="107"/>
        <item x="246"/>
        <item x="209"/>
        <item x="303"/>
        <item x="226"/>
        <item x="177"/>
        <item x="190"/>
        <item x="103"/>
        <item x="88"/>
        <item x="113"/>
        <item x="27"/>
        <item x="322"/>
        <item x="57"/>
        <item x="135"/>
        <item x="238"/>
        <item x="265"/>
        <item x="230"/>
        <item x="132"/>
        <item x="231"/>
        <item x="254"/>
        <item x="148"/>
        <item x="58"/>
        <item x="188"/>
        <item x="42"/>
        <item x="1"/>
        <item x="15"/>
        <item x="221"/>
        <item x="31"/>
        <item x="336"/>
        <item x="267"/>
        <item x="296"/>
        <item x="84"/>
        <item x="182"/>
        <item x="81"/>
        <item x="40"/>
        <item x="292"/>
        <item x="261"/>
        <item x="59"/>
        <item x="283"/>
        <item x="52"/>
        <item x="308"/>
        <item x="97"/>
        <item x="213"/>
        <item x="5"/>
        <item x="228"/>
        <item x="156"/>
        <item x="196"/>
        <item x="112"/>
        <item x="275"/>
        <item x="234"/>
        <item x="86"/>
        <item x="8"/>
        <item x="95"/>
        <item x="168"/>
        <item x="264"/>
        <item x="144"/>
        <item x="170"/>
        <item x="138"/>
        <item x="316"/>
        <item t="default"/>
      </items>
    </pivotField>
  </pivotFields>
  <rowFields>
    <field x="0"/>
    <field x="5"/>
    <field x="11"/>
    <field x="1"/>
    <field x="41"/>
  </rowFields>
  <colFields>
    <field x="-2"/>
  </colFields>
  <pageFields>
    <pageField fld="2"/>
  </pageFields>
  <dataFields>
    <dataField name="Cont.Núm - Página_Total" fld="36" subtotal="count" baseField="0"/>
    <dataField name="SUM of Página_Total" fld="39"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26.5"/>
    <col customWidth="1" min="2" max="2" width="39.13"/>
    <col customWidth="1" min="3" max="4" width="7.38"/>
    <col customWidth="1" min="5" max="6" width="16.0"/>
    <col customWidth="1" min="7" max="7" width="15.88"/>
    <col customWidth="1" min="8" max="8" width="3.25"/>
    <col customWidth="1" min="9" max="9" width="10.75"/>
    <col customWidth="1" min="10" max="10" width="3.5"/>
    <col customWidth="1" min="11" max="11" width="7.63"/>
    <col customWidth="1" min="12" max="12" width="6.63"/>
    <col customWidth="1" min="13" max="13" width="6.5"/>
    <col customWidth="1" min="14" max="14" width="6.75"/>
    <col customWidth="1" min="15" max="15" width="6.5"/>
    <col customWidth="1" min="16" max="16" width="10.75"/>
    <col customWidth="1" min="17" max="18" width="11.25"/>
    <col customWidth="1" min="19" max="19" width="19.63"/>
    <col customWidth="1" min="20" max="20" width="29.0"/>
    <col customWidth="1" min="21" max="22" width="9.5"/>
    <col customWidth="1" min="23" max="23" width="8.75"/>
    <col customWidth="1" min="24" max="34" width="11.25"/>
    <col customWidth="1" min="35" max="37" width="10.75"/>
    <col customWidth="1" min="38" max="38" width="4.25"/>
    <col customWidth="1" min="39" max="39" width="3.75"/>
    <col customWidth="1" min="40" max="42" width="10.75"/>
  </cols>
  <sheetData>
    <row r="1" ht="12.75" customHeight="1">
      <c r="A1" s="1" t="s">
        <v>0</v>
      </c>
      <c r="B1" s="1" t="s">
        <v>1</v>
      </c>
      <c r="C1" s="3" t="s">
        <v>2</v>
      </c>
      <c r="D1" s="1" t="s">
        <v>3</v>
      </c>
      <c r="E1" s="1" t="s">
        <v>4</v>
      </c>
      <c r="F1" s="1" t="s">
        <v>5</v>
      </c>
      <c r="G1" s="1" t="s">
        <v>6</v>
      </c>
      <c r="H1" s="1" t="s">
        <v>7</v>
      </c>
      <c r="I1" s="1" t="s">
        <v>8</v>
      </c>
      <c r="J1" s="1" t="s">
        <v>9</v>
      </c>
      <c r="K1" s="1" t="s">
        <v>10</v>
      </c>
      <c r="L1" s="1" t="s">
        <v>11</v>
      </c>
      <c r="M1" s="1" t="s">
        <v>12</v>
      </c>
      <c r="N1" s="1" t="s">
        <v>13</v>
      </c>
      <c r="O1" s="1" t="s">
        <v>14</v>
      </c>
      <c r="P1" s="1" t="s">
        <v>15</v>
      </c>
      <c r="Q1" s="4" t="s">
        <v>16</v>
      </c>
      <c r="R1" s="1" t="s">
        <v>17</v>
      </c>
      <c r="S1" s="1" t="s">
        <v>18</v>
      </c>
      <c r="T1" s="1" t="s">
        <v>19</v>
      </c>
      <c r="U1" s="1" t="s">
        <v>20</v>
      </c>
      <c r="V1" s="1" t="s">
        <v>21</v>
      </c>
      <c r="W1" s="1" t="s">
        <v>22</v>
      </c>
      <c r="X1" s="4" t="s">
        <v>23</v>
      </c>
      <c r="Y1" s="4" t="s">
        <v>24</v>
      </c>
      <c r="Z1" s="4" t="s">
        <v>25</v>
      </c>
      <c r="AA1" s="1" t="s">
        <v>26</v>
      </c>
      <c r="AB1" s="1" t="s">
        <v>27</v>
      </c>
      <c r="AC1" s="1" t="s">
        <v>28</v>
      </c>
      <c r="AD1" s="1" t="s">
        <v>29</v>
      </c>
      <c r="AE1" s="1" t="s">
        <v>30</v>
      </c>
      <c r="AF1" s="1" t="s">
        <v>31</v>
      </c>
      <c r="AG1" s="4" t="s">
        <v>32</v>
      </c>
      <c r="AH1" s="1" t="s">
        <v>33</v>
      </c>
      <c r="AI1" s="1" t="s">
        <v>34</v>
      </c>
      <c r="AJ1" s="1" t="s">
        <v>35</v>
      </c>
      <c r="AK1" s="1" t="s">
        <v>36</v>
      </c>
      <c r="AL1" s="1" t="s">
        <v>37</v>
      </c>
      <c r="AM1" s="1" t="s">
        <v>38</v>
      </c>
      <c r="AN1" s="1" t="s">
        <v>39</v>
      </c>
      <c r="AO1" s="1" t="s">
        <v>40</v>
      </c>
      <c r="AP1" s="3" t="s">
        <v>41</v>
      </c>
    </row>
    <row r="2" ht="12.75" customHeight="1">
      <c r="A2" s="1" t="s">
        <v>42</v>
      </c>
      <c r="B2" s="1" t="s">
        <v>43</v>
      </c>
      <c r="C2" s="4" t="s">
        <v>44</v>
      </c>
      <c r="D2" s="1" t="s">
        <v>45</v>
      </c>
      <c r="E2" s="1" t="s">
        <v>46</v>
      </c>
      <c r="F2" s="1" t="s">
        <v>47</v>
      </c>
      <c r="G2" s="1" t="s">
        <v>43</v>
      </c>
      <c r="H2" s="1" t="s">
        <v>48</v>
      </c>
      <c r="I2" s="1" t="s">
        <v>49</v>
      </c>
      <c r="J2" s="1">
        <v>20.0</v>
      </c>
      <c r="K2" s="1">
        <v>40.0</v>
      </c>
      <c r="L2" s="1">
        <v>1944.0</v>
      </c>
      <c r="M2" s="1"/>
      <c r="N2" s="1"/>
      <c r="O2" s="1">
        <v>1999.0</v>
      </c>
      <c r="P2" s="1" t="s">
        <v>50</v>
      </c>
      <c r="Q2" s="4" t="s">
        <v>51</v>
      </c>
      <c r="R2" s="1" t="s">
        <v>52</v>
      </c>
      <c r="S2" s="1" t="s">
        <v>53</v>
      </c>
      <c r="T2" s="4" t="s">
        <v>54</v>
      </c>
      <c r="U2" s="1">
        <v>1944.0</v>
      </c>
      <c r="V2" s="1"/>
      <c r="W2" s="1"/>
      <c r="X2" s="4" t="s">
        <v>55</v>
      </c>
      <c r="Y2" s="4" t="s">
        <v>45</v>
      </c>
      <c r="Z2" s="1" t="s">
        <v>47</v>
      </c>
      <c r="AA2" s="4" t="s">
        <v>56</v>
      </c>
      <c r="AB2" s="4" t="s">
        <v>57</v>
      </c>
      <c r="AC2" s="1" t="s">
        <v>58</v>
      </c>
      <c r="AD2" s="1" t="s">
        <v>59</v>
      </c>
      <c r="AE2" s="1" t="s">
        <v>60</v>
      </c>
      <c r="AF2" s="1" t="s">
        <v>61</v>
      </c>
      <c r="AG2" s="4" t="s">
        <v>62</v>
      </c>
      <c r="AH2" s="1">
        <v>7.0</v>
      </c>
      <c r="AI2" s="1">
        <v>7.0</v>
      </c>
      <c r="AJ2" s="1">
        <v>5.0</v>
      </c>
      <c r="AK2" s="1">
        <f t="shared" ref="AK2:AK472" si="1">SUM(AH2:AJ2)</f>
        <v>19</v>
      </c>
      <c r="AL2" s="1">
        <v>1.0</v>
      </c>
      <c r="AM2" s="1">
        <v>128.0</v>
      </c>
      <c r="AN2" s="1">
        <f t="shared" ref="AN2:AN222" si="2">AM2*AL2</f>
        <v>128</v>
      </c>
      <c r="AO2" s="1">
        <f t="shared" ref="AO2:AO7" si="3">(AH2*5)/100+(AI2*5)/100+(AJ2*5)/100+1/AN2</f>
        <v>0.9578125</v>
      </c>
      <c r="AP2" s="1"/>
    </row>
    <row r="3" ht="12.75" customHeight="1">
      <c r="A3" s="1" t="s">
        <v>63</v>
      </c>
      <c r="B3" s="1" t="s">
        <v>64</v>
      </c>
      <c r="C3" s="4" t="s">
        <v>44</v>
      </c>
      <c r="D3" s="1" t="s">
        <v>45</v>
      </c>
      <c r="E3" s="1" t="s">
        <v>46</v>
      </c>
      <c r="F3" s="1" t="s">
        <v>47</v>
      </c>
      <c r="G3" s="1" t="s">
        <v>64</v>
      </c>
      <c r="H3" s="1" t="s">
        <v>65</v>
      </c>
      <c r="I3" s="1" t="s">
        <v>66</v>
      </c>
      <c r="J3" s="1">
        <v>20.0</v>
      </c>
      <c r="K3" s="1">
        <v>60.0</v>
      </c>
      <c r="L3" s="1">
        <v>1969.0</v>
      </c>
      <c r="M3" s="1"/>
      <c r="N3" s="1"/>
      <c r="O3" s="1">
        <v>1999.0</v>
      </c>
      <c r="P3" s="1" t="s">
        <v>50</v>
      </c>
      <c r="Q3" s="4" t="s">
        <v>51</v>
      </c>
      <c r="R3" s="1" t="s">
        <v>67</v>
      </c>
      <c r="S3" s="1" t="s">
        <v>53</v>
      </c>
      <c r="T3" s="1" t="s">
        <v>60</v>
      </c>
      <c r="U3" s="1">
        <v>1969.0</v>
      </c>
      <c r="V3" s="1"/>
      <c r="W3" s="1"/>
      <c r="X3" s="4" t="s">
        <v>30</v>
      </c>
      <c r="Y3" s="4" t="s">
        <v>30</v>
      </c>
      <c r="Z3" s="4" t="s">
        <v>68</v>
      </c>
      <c r="AA3" s="4" t="s">
        <v>68</v>
      </c>
      <c r="AB3" s="4" t="s">
        <v>68</v>
      </c>
      <c r="AC3" s="1" t="s">
        <v>69</v>
      </c>
      <c r="AD3" s="1" t="s">
        <v>70</v>
      </c>
      <c r="AE3" s="1" t="s">
        <v>60</v>
      </c>
      <c r="AF3" s="1" t="s">
        <v>60</v>
      </c>
      <c r="AG3" s="4" t="s">
        <v>62</v>
      </c>
      <c r="AH3" s="1">
        <v>3.0</v>
      </c>
      <c r="AI3" s="1">
        <v>3.0</v>
      </c>
      <c r="AJ3" s="1">
        <v>3.0</v>
      </c>
      <c r="AK3" s="1">
        <f t="shared" si="1"/>
        <v>9</v>
      </c>
      <c r="AL3" s="1">
        <v>1.0</v>
      </c>
      <c r="AM3" s="1">
        <v>48.0</v>
      </c>
      <c r="AN3" s="1">
        <f t="shared" si="2"/>
        <v>48</v>
      </c>
      <c r="AO3" s="1">
        <f t="shared" si="3"/>
        <v>0.4708333333</v>
      </c>
      <c r="AP3" s="1"/>
    </row>
    <row r="4" ht="12.75" customHeight="1">
      <c r="A4" s="1" t="s">
        <v>71</v>
      </c>
      <c r="B4" s="1" t="s">
        <v>72</v>
      </c>
      <c r="C4" s="4" t="s">
        <v>44</v>
      </c>
      <c r="D4" s="1" t="s">
        <v>45</v>
      </c>
      <c r="E4" s="1" t="s">
        <v>46</v>
      </c>
      <c r="F4" s="1" t="s">
        <v>47</v>
      </c>
      <c r="G4" s="1" t="s">
        <v>72</v>
      </c>
      <c r="H4" s="1" t="s">
        <v>73</v>
      </c>
      <c r="I4" s="1" t="s">
        <v>74</v>
      </c>
      <c r="J4" s="1">
        <v>20.0</v>
      </c>
      <c r="K4" s="1">
        <v>70.0</v>
      </c>
      <c r="L4" s="1">
        <v>1976.0</v>
      </c>
      <c r="M4" s="1"/>
      <c r="N4" s="1"/>
      <c r="O4" s="1">
        <v>1999.0</v>
      </c>
      <c r="P4" s="1" t="s">
        <v>50</v>
      </c>
      <c r="Q4" s="4" t="s">
        <v>51</v>
      </c>
      <c r="R4" s="1" t="s">
        <v>67</v>
      </c>
      <c r="S4" s="1" t="s">
        <v>53</v>
      </c>
      <c r="T4" s="4" t="s">
        <v>75</v>
      </c>
      <c r="U4" s="1">
        <v>1976.0</v>
      </c>
      <c r="V4" s="1"/>
      <c r="W4" s="1"/>
      <c r="X4" s="4" t="s">
        <v>55</v>
      </c>
      <c r="Y4" s="4" t="s">
        <v>45</v>
      </c>
      <c r="Z4" s="1" t="s">
        <v>47</v>
      </c>
      <c r="AA4" s="1" t="s">
        <v>47</v>
      </c>
      <c r="AB4" s="1" t="s">
        <v>47</v>
      </c>
      <c r="AC4" s="1" t="s">
        <v>69</v>
      </c>
      <c r="AD4" s="1" t="s">
        <v>59</v>
      </c>
      <c r="AE4" s="1" t="s">
        <v>60</v>
      </c>
      <c r="AF4" s="1" t="s">
        <v>60</v>
      </c>
      <c r="AG4" s="4" t="s">
        <v>62</v>
      </c>
      <c r="AH4" s="1">
        <v>3.0</v>
      </c>
      <c r="AI4" s="1">
        <v>3.0</v>
      </c>
      <c r="AJ4" s="1">
        <v>3.0</v>
      </c>
      <c r="AK4" s="1">
        <f t="shared" si="1"/>
        <v>9</v>
      </c>
      <c r="AL4" s="1">
        <v>1.0</v>
      </c>
      <c r="AM4" s="1">
        <v>64.0</v>
      </c>
      <c r="AN4" s="1">
        <f t="shared" si="2"/>
        <v>64</v>
      </c>
      <c r="AO4" s="1">
        <f t="shared" si="3"/>
        <v>0.465625</v>
      </c>
      <c r="AP4" s="1"/>
    </row>
    <row r="5" ht="12.75" customHeight="1">
      <c r="A5" s="1" t="s">
        <v>76</v>
      </c>
      <c r="B5" s="1" t="s">
        <v>77</v>
      </c>
      <c r="C5" s="4" t="s">
        <v>44</v>
      </c>
      <c r="D5" s="1" t="s">
        <v>45</v>
      </c>
      <c r="E5" s="1" t="s">
        <v>46</v>
      </c>
      <c r="F5" s="1" t="s">
        <v>47</v>
      </c>
      <c r="G5" s="1" t="s">
        <v>77</v>
      </c>
      <c r="H5" s="1" t="s">
        <v>65</v>
      </c>
      <c r="I5" s="1" t="s">
        <v>49</v>
      </c>
      <c r="J5" s="1">
        <v>20.0</v>
      </c>
      <c r="K5" s="1">
        <v>80.0</v>
      </c>
      <c r="L5" s="1">
        <v>1982.0</v>
      </c>
      <c r="M5" s="1"/>
      <c r="N5" s="1"/>
      <c r="O5" s="1">
        <v>1999.0</v>
      </c>
      <c r="P5" s="1" t="s">
        <v>50</v>
      </c>
      <c r="Q5" s="4" t="s">
        <v>51</v>
      </c>
      <c r="R5" s="1" t="s">
        <v>52</v>
      </c>
      <c r="S5" s="1" t="s">
        <v>53</v>
      </c>
      <c r="T5" s="4" t="s">
        <v>75</v>
      </c>
      <c r="U5" s="1">
        <v>1982.0</v>
      </c>
      <c r="V5" s="1"/>
      <c r="W5" s="1"/>
      <c r="X5" s="4" t="s">
        <v>55</v>
      </c>
      <c r="Y5" s="4" t="s">
        <v>45</v>
      </c>
      <c r="Z5" s="1" t="s">
        <v>47</v>
      </c>
      <c r="AA5" s="1" t="s">
        <v>56</v>
      </c>
      <c r="AB5" s="4" t="s">
        <v>79</v>
      </c>
      <c r="AC5" s="4" t="s">
        <v>80</v>
      </c>
      <c r="AD5" s="1" t="s">
        <v>81</v>
      </c>
      <c r="AE5" s="1" t="s">
        <v>60</v>
      </c>
      <c r="AF5" s="1" t="s">
        <v>61</v>
      </c>
      <c r="AG5" s="4" t="s">
        <v>62</v>
      </c>
      <c r="AH5" s="1">
        <v>7.0</v>
      </c>
      <c r="AI5" s="1">
        <v>5.0</v>
      </c>
      <c r="AJ5" s="1">
        <v>5.0</v>
      </c>
      <c r="AK5" s="1">
        <f t="shared" si="1"/>
        <v>17</v>
      </c>
      <c r="AL5" s="1">
        <v>1.0</v>
      </c>
      <c r="AM5" s="1">
        <v>128.0</v>
      </c>
      <c r="AN5" s="1">
        <f t="shared" si="2"/>
        <v>128</v>
      </c>
      <c r="AO5" s="1">
        <f t="shared" si="3"/>
        <v>0.8578125</v>
      </c>
      <c r="AP5" s="1"/>
    </row>
    <row r="6" ht="12.75" customHeight="1">
      <c r="A6" s="1" t="s">
        <v>82</v>
      </c>
      <c r="B6" s="1" t="s">
        <v>84</v>
      </c>
      <c r="C6" s="4" t="s">
        <v>44</v>
      </c>
      <c r="D6" s="1" t="s">
        <v>45</v>
      </c>
      <c r="E6" s="1" t="s">
        <v>46</v>
      </c>
      <c r="F6" s="1" t="s">
        <v>47</v>
      </c>
      <c r="G6" s="1" t="s">
        <v>84</v>
      </c>
      <c r="H6" s="1" t="s">
        <v>65</v>
      </c>
      <c r="I6" s="1" t="s">
        <v>49</v>
      </c>
      <c r="J6" s="1">
        <v>20.0</v>
      </c>
      <c r="K6" s="1">
        <v>80.0</v>
      </c>
      <c r="L6" s="1">
        <v>1986.0</v>
      </c>
      <c r="M6" s="1"/>
      <c r="N6" s="1"/>
      <c r="O6" s="1">
        <v>1999.0</v>
      </c>
      <c r="P6" s="1" t="s">
        <v>50</v>
      </c>
      <c r="Q6" s="4" t="s">
        <v>51</v>
      </c>
      <c r="R6" s="1" t="s">
        <v>52</v>
      </c>
      <c r="S6" s="1" t="s">
        <v>53</v>
      </c>
      <c r="T6" s="4" t="s">
        <v>91</v>
      </c>
      <c r="U6" s="1">
        <v>1986.0</v>
      </c>
      <c r="V6" s="1"/>
      <c r="W6" s="1"/>
      <c r="X6" s="4" t="s">
        <v>55</v>
      </c>
      <c r="Y6" s="4" t="s">
        <v>45</v>
      </c>
      <c r="Z6" s="1" t="s">
        <v>47</v>
      </c>
      <c r="AA6" s="1" t="s">
        <v>56</v>
      </c>
      <c r="AB6" s="1" t="s">
        <v>56</v>
      </c>
      <c r="AC6" s="1" t="s">
        <v>92</v>
      </c>
      <c r="AD6" s="1" t="s">
        <v>93</v>
      </c>
      <c r="AE6" s="1" t="s">
        <v>60</v>
      </c>
      <c r="AF6" s="1" t="s">
        <v>61</v>
      </c>
      <c r="AG6" s="4" t="s">
        <v>62</v>
      </c>
      <c r="AH6" s="1">
        <v>4.0</v>
      </c>
      <c r="AI6" s="1">
        <v>5.0</v>
      </c>
      <c r="AJ6" s="1">
        <v>5.0</v>
      </c>
      <c r="AK6" s="1">
        <f t="shared" si="1"/>
        <v>14</v>
      </c>
      <c r="AL6" s="1">
        <v>1.0</v>
      </c>
      <c r="AM6" s="1">
        <v>111.0</v>
      </c>
      <c r="AN6" s="1">
        <f t="shared" si="2"/>
        <v>111</v>
      </c>
      <c r="AO6" s="1">
        <f t="shared" si="3"/>
        <v>0.709009009</v>
      </c>
      <c r="AP6" s="1"/>
    </row>
    <row r="7" ht="12.75" customHeight="1">
      <c r="A7" s="1" t="s">
        <v>97</v>
      </c>
      <c r="B7" s="1" t="s">
        <v>98</v>
      </c>
      <c r="C7" s="4" t="s">
        <v>44</v>
      </c>
      <c r="D7" s="1" t="s">
        <v>99</v>
      </c>
      <c r="E7" s="1" t="s">
        <v>100</v>
      </c>
      <c r="F7" s="1" t="s">
        <v>101</v>
      </c>
      <c r="G7" s="4" t="s">
        <v>102</v>
      </c>
      <c r="H7" s="1" t="s">
        <v>48</v>
      </c>
      <c r="I7" s="1" t="s">
        <v>103</v>
      </c>
      <c r="J7" s="1">
        <v>20.0</v>
      </c>
      <c r="K7" s="1">
        <v>90.0</v>
      </c>
      <c r="L7" s="1">
        <v>1997.0</v>
      </c>
      <c r="M7" s="4">
        <v>15.0</v>
      </c>
      <c r="N7" s="4">
        <v>6.0</v>
      </c>
      <c r="O7" s="1">
        <v>2000.0</v>
      </c>
      <c r="P7" s="1" t="s">
        <v>105</v>
      </c>
      <c r="Q7" s="4" t="s">
        <v>51</v>
      </c>
      <c r="R7" s="1" t="s">
        <v>52</v>
      </c>
      <c r="S7" s="1" t="s">
        <v>53</v>
      </c>
      <c r="T7" s="4" t="s">
        <v>106</v>
      </c>
      <c r="U7" s="1">
        <v>1991.0</v>
      </c>
      <c r="V7" s="1"/>
      <c r="W7" s="1"/>
      <c r="X7" s="4" t="s">
        <v>55</v>
      </c>
      <c r="Y7" s="4" t="s">
        <v>99</v>
      </c>
      <c r="Z7" s="4" t="s">
        <v>108</v>
      </c>
      <c r="AA7" s="4" t="s">
        <v>108</v>
      </c>
      <c r="AB7" s="1" t="s">
        <v>109</v>
      </c>
      <c r="AC7" s="1" t="s">
        <v>110</v>
      </c>
      <c r="AD7" s="1" t="s">
        <v>111</v>
      </c>
      <c r="AE7" s="1" t="s">
        <v>112</v>
      </c>
      <c r="AF7" s="1" t="s">
        <v>113</v>
      </c>
      <c r="AG7" s="4" t="s">
        <v>62</v>
      </c>
      <c r="AH7" s="4">
        <v>7.0</v>
      </c>
      <c r="AI7" s="4">
        <v>8.0</v>
      </c>
      <c r="AJ7" s="1">
        <v>7.0</v>
      </c>
      <c r="AK7" s="1">
        <f t="shared" si="1"/>
        <v>22</v>
      </c>
      <c r="AL7" s="4">
        <v>1.0</v>
      </c>
      <c r="AM7" s="1">
        <v>224.0</v>
      </c>
      <c r="AN7" s="1">
        <f t="shared" si="2"/>
        <v>224</v>
      </c>
      <c r="AO7" s="1">
        <f t="shared" si="3"/>
        <v>1.104464286</v>
      </c>
      <c r="AP7" s="4" t="s">
        <v>115</v>
      </c>
    </row>
    <row r="8" ht="12.75" customHeight="1">
      <c r="A8" s="8" t="s">
        <v>97</v>
      </c>
      <c r="B8" s="8" t="s">
        <v>98</v>
      </c>
      <c r="C8" s="4" t="s">
        <v>117</v>
      </c>
      <c r="D8" s="8" t="s">
        <v>99</v>
      </c>
      <c r="E8" s="8" t="s">
        <v>100</v>
      </c>
      <c r="F8" s="8" t="s">
        <v>101</v>
      </c>
      <c r="G8" s="8" t="s">
        <v>102</v>
      </c>
      <c r="H8" s="8" t="s">
        <v>65</v>
      </c>
      <c r="I8" s="8" t="s">
        <v>103</v>
      </c>
      <c r="J8" s="9">
        <v>20.0</v>
      </c>
      <c r="K8" s="9">
        <v>90.0</v>
      </c>
      <c r="L8" s="9">
        <v>1997.0</v>
      </c>
      <c r="M8" s="9">
        <v>15.0</v>
      </c>
      <c r="N8" s="9">
        <v>6.0</v>
      </c>
      <c r="O8" s="9">
        <v>2000.0</v>
      </c>
      <c r="P8" s="8" t="s">
        <v>105</v>
      </c>
      <c r="Q8" s="4" t="s">
        <v>51</v>
      </c>
      <c r="R8" s="8" t="s">
        <v>52</v>
      </c>
      <c r="S8" s="8" t="s">
        <v>53</v>
      </c>
      <c r="T8" s="4" t="s">
        <v>106</v>
      </c>
      <c r="U8" s="9">
        <v>1991.0</v>
      </c>
      <c r="V8" s="8"/>
      <c r="W8" s="8"/>
      <c r="X8" s="4" t="s">
        <v>55</v>
      </c>
      <c r="Y8" s="4" t="s">
        <v>99</v>
      </c>
      <c r="Z8" s="4" t="s">
        <v>108</v>
      </c>
      <c r="AA8" s="4" t="s">
        <v>108</v>
      </c>
      <c r="AB8" s="8" t="s">
        <v>109</v>
      </c>
      <c r="AC8" s="8" t="s">
        <v>110</v>
      </c>
      <c r="AD8" s="8" t="s">
        <v>111</v>
      </c>
      <c r="AE8" s="8" t="s">
        <v>112</v>
      </c>
      <c r="AF8" s="8" t="s">
        <v>113</v>
      </c>
      <c r="AG8" s="4" t="s">
        <v>62</v>
      </c>
      <c r="AH8" s="9">
        <v>9.0</v>
      </c>
      <c r="AI8" s="9">
        <v>9.0</v>
      </c>
      <c r="AJ8" s="9">
        <v>9.0</v>
      </c>
      <c r="AK8" s="9">
        <f t="shared" si="1"/>
        <v>27</v>
      </c>
      <c r="AL8" s="9">
        <v>1.0</v>
      </c>
      <c r="AM8" s="9">
        <v>224.0</v>
      </c>
      <c r="AN8" s="9">
        <f t="shared" si="2"/>
        <v>224</v>
      </c>
      <c r="AO8" s="9">
        <f>(AH8*5)/100+(AI8*5)/100+(AJ8*5)/100+1/AN8</f>
        <v>1.354464286</v>
      </c>
      <c r="AP8" s="1"/>
    </row>
    <row r="9" ht="12.75" customHeight="1">
      <c r="A9" s="1" t="s">
        <v>97</v>
      </c>
      <c r="B9" s="1" t="s">
        <v>98</v>
      </c>
      <c r="C9" s="4" t="s">
        <v>44</v>
      </c>
      <c r="D9" s="1" t="s">
        <v>99</v>
      </c>
      <c r="E9" s="1" t="s">
        <v>100</v>
      </c>
      <c r="F9" s="1" t="s">
        <v>101</v>
      </c>
      <c r="G9" s="4" t="s">
        <v>102</v>
      </c>
      <c r="H9" s="1" t="s">
        <v>48</v>
      </c>
      <c r="I9" s="1" t="s">
        <v>103</v>
      </c>
      <c r="J9" s="1">
        <v>20.0</v>
      </c>
      <c r="K9" s="1">
        <v>90.0</v>
      </c>
      <c r="L9" s="1">
        <v>1997.0</v>
      </c>
      <c r="M9" s="1"/>
      <c r="N9" s="1"/>
      <c r="O9" s="1">
        <v>2000.0</v>
      </c>
      <c r="P9" s="1" t="s">
        <v>105</v>
      </c>
      <c r="Q9" s="4" t="s">
        <v>51</v>
      </c>
      <c r="R9" s="1" t="s">
        <v>52</v>
      </c>
      <c r="S9" s="1" t="s">
        <v>53</v>
      </c>
      <c r="T9" s="4" t="s">
        <v>106</v>
      </c>
      <c r="U9" s="1">
        <v>1991.0</v>
      </c>
      <c r="V9" s="1"/>
      <c r="W9" s="1"/>
      <c r="X9" s="4" t="s">
        <v>55</v>
      </c>
      <c r="Y9" s="4" t="s">
        <v>99</v>
      </c>
      <c r="Z9" s="4" t="s">
        <v>108</v>
      </c>
      <c r="AA9" s="4" t="s">
        <v>108</v>
      </c>
      <c r="AB9" s="1" t="s">
        <v>109</v>
      </c>
      <c r="AC9" s="1" t="s">
        <v>110</v>
      </c>
      <c r="AD9" s="1" t="s">
        <v>111</v>
      </c>
      <c r="AE9" s="1" t="s">
        <v>112</v>
      </c>
      <c r="AF9" s="1" t="s">
        <v>113</v>
      </c>
      <c r="AG9" s="4" t="s">
        <v>62</v>
      </c>
      <c r="AH9" s="1">
        <v>6.0</v>
      </c>
      <c r="AI9" s="1">
        <v>7.0</v>
      </c>
      <c r="AJ9" s="1">
        <v>7.0</v>
      </c>
      <c r="AK9" s="1">
        <f t="shared" si="1"/>
        <v>20</v>
      </c>
      <c r="AL9" s="1">
        <v>2.0</v>
      </c>
      <c r="AM9" s="1">
        <v>224.0</v>
      </c>
      <c r="AN9" s="1">
        <f t="shared" si="2"/>
        <v>448</v>
      </c>
      <c r="AO9" s="1">
        <f t="shared" ref="AO9:AO222" si="4">(AH9*5)/100+(AI9*5)/100+(AJ9*5)/100+1/AN9</f>
        <v>1.002232143</v>
      </c>
      <c r="AP9" s="1"/>
    </row>
    <row r="10" ht="12.75" customHeight="1">
      <c r="A10" s="1" t="s">
        <v>130</v>
      </c>
      <c r="B10" s="1" t="s">
        <v>131</v>
      </c>
      <c r="C10" s="4" t="s">
        <v>44</v>
      </c>
      <c r="D10" s="1" t="s">
        <v>45</v>
      </c>
      <c r="E10" s="1" t="s">
        <v>46</v>
      </c>
      <c r="F10" s="1" t="s">
        <v>47</v>
      </c>
      <c r="G10" s="1" t="s">
        <v>131</v>
      </c>
      <c r="H10" s="1" t="s">
        <v>48</v>
      </c>
      <c r="I10" s="1" t="s">
        <v>49</v>
      </c>
      <c r="J10" s="1">
        <v>20.0</v>
      </c>
      <c r="K10" s="1">
        <v>90.0</v>
      </c>
      <c r="L10" s="1">
        <v>1997.0</v>
      </c>
      <c r="M10" s="1"/>
      <c r="N10" s="1"/>
      <c r="O10" s="1">
        <v>2000.0</v>
      </c>
      <c r="P10" s="1" t="s">
        <v>50</v>
      </c>
      <c r="Q10" s="4" t="s">
        <v>51</v>
      </c>
      <c r="R10" s="1" t="s">
        <v>136</v>
      </c>
      <c r="S10" s="1" t="s">
        <v>138</v>
      </c>
      <c r="T10" s="4" t="s">
        <v>91</v>
      </c>
      <c r="U10" s="1">
        <v>1997.0</v>
      </c>
      <c r="V10" s="1"/>
      <c r="W10" s="1"/>
      <c r="X10" s="4" t="s">
        <v>55</v>
      </c>
      <c r="Y10" s="4" t="s">
        <v>45</v>
      </c>
      <c r="Z10" s="1" t="s">
        <v>47</v>
      </c>
      <c r="AA10" s="1" t="s">
        <v>139</v>
      </c>
      <c r="AB10" s="1" t="s">
        <v>141</v>
      </c>
      <c r="AC10" s="1" t="s">
        <v>58</v>
      </c>
      <c r="AD10" s="1" t="s">
        <v>142</v>
      </c>
      <c r="AE10" s="1" t="s">
        <v>143</v>
      </c>
      <c r="AF10" s="1" t="s">
        <v>60</v>
      </c>
      <c r="AG10" s="4" t="s">
        <v>62</v>
      </c>
      <c r="AH10" s="1">
        <v>3.0</v>
      </c>
      <c r="AI10" s="1">
        <v>4.0</v>
      </c>
      <c r="AJ10" s="1">
        <v>4.0</v>
      </c>
      <c r="AK10" s="1">
        <f t="shared" si="1"/>
        <v>11</v>
      </c>
      <c r="AL10" s="1">
        <v>1.0</v>
      </c>
      <c r="AM10" s="1">
        <v>279.0</v>
      </c>
      <c r="AN10" s="1">
        <f t="shared" si="2"/>
        <v>279</v>
      </c>
      <c r="AO10" s="1">
        <f t="shared" si="4"/>
        <v>0.5535842294</v>
      </c>
      <c r="AP10" s="1"/>
    </row>
    <row r="11" ht="12.75" customHeight="1">
      <c r="A11" s="1" t="s">
        <v>97</v>
      </c>
      <c r="B11" s="1" t="s">
        <v>147</v>
      </c>
      <c r="C11" s="4" t="s">
        <v>44</v>
      </c>
      <c r="D11" s="1" t="s">
        <v>99</v>
      </c>
      <c r="E11" s="1" t="s">
        <v>100</v>
      </c>
      <c r="F11" s="1" t="s">
        <v>101</v>
      </c>
      <c r="G11" s="4" t="s">
        <v>150</v>
      </c>
      <c r="H11" s="1" t="s">
        <v>48</v>
      </c>
      <c r="I11" s="1" t="s">
        <v>103</v>
      </c>
      <c r="J11" s="1">
        <v>20.0</v>
      </c>
      <c r="K11" s="1">
        <v>90.0</v>
      </c>
      <c r="L11" s="1">
        <v>1998.0</v>
      </c>
      <c r="M11" s="1"/>
      <c r="N11" s="1"/>
      <c r="O11" s="1">
        <v>2000.0</v>
      </c>
      <c r="P11" s="1" t="s">
        <v>105</v>
      </c>
      <c r="Q11" s="4" t="s">
        <v>51</v>
      </c>
      <c r="R11" s="1" t="s">
        <v>52</v>
      </c>
      <c r="S11" s="1" t="s">
        <v>53</v>
      </c>
      <c r="T11" s="4" t="s">
        <v>106</v>
      </c>
      <c r="U11" s="1">
        <v>1992.0</v>
      </c>
      <c r="V11" s="1"/>
      <c r="W11" s="1"/>
      <c r="X11" s="4" t="s">
        <v>55</v>
      </c>
      <c r="Y11" s="4" t="s">
        <v>99</v>
      </c>
      <c r="Z11" s="4" t="s">
        <v>108</v>
      </c>
      <c r="AA11" s="4" t="s">
        <v>108</v>
      </c>
      <c r="AB11" s="1" t="s">
        <v>109</v>
      </c>
      <c r="AC11" s="1" t="s">
        <v>110</v>
      </c>
      <c r="AD11" s="1" t="s">
        <v>111</v>
      </c>
      <c r="AE11" s="1" t="s">
        <v>112</v>
      </c>
      <c r="AF11" s="1" t="s">
        <v>113</v>
      </c>
      <c r="AG11" s="4" t="s">
        <v>62</v>
      </c>
      <c r="AH11" s="1">
        <v>6.0</v>
      </c>
      <c r="AI11" s="1">
        <v>7.0</v>
      </c>
      <c r="AJ11" s="1">
        <v>7.0</v>
      </c>
      <c r="AK11" s="1">
        <f t="shared" si="1"/>
        <v>20</v>
      </c>
      <c r="AL11" s="1">
        <v>2.0</v>
      </c>
      <c r="AM11" s="1">
        <v>252.0</v>
      </c>
      <c r="AN11" s="1">
        <f t="shared" si="2"/>
        <v>504</v>
      </c>
      <c r="AO11" s="1">
        <f t="shared" si="4"/>
        <v>1.001984127</v>
      </c>
      <c r="AP11" s="1"/>
    </row>
    <row r="12" ht="12.75" customHeight="1">
      <c r="A12" s="1" t="s">
        <v>97</v>
      </c>
      <c r="B12" s="1" t="s">
        <v>156</v>
      </c>
      <c r="C12" s="4" t="s">
        <v>44</v>
      </c>
      <c r="D12" s="1" t="s">
        <v>99</v>
      </c>
      <c r="E12" s="1" t="s">
        <v>100</v>
      </c>
      <c r="F12" s="1" t="s">
        <v>101</v>
      </c>
      <c r="G12" s="1"/>
      <c r="H12" s="1" t="s">
        <v>48</v>
      </c>
      <c r="I12" s="1" t="s">
        <v>103</v>
      </c>
      <c r="J12" s="1">
        <v>20.0</v>
      </c>
      <c r="K12" s="1">
        <v>90.0</v>
      </c>
      <c r="L12" s="1">
        <v>1999.0</v>
      </c>
      <c r="M12" s="1"/>
      <c r="N12" s="1"/>
      <c r="O12" s="1">
        <v>2000.0</v>
      </c>
      <c r="P12" s="1" t="s">
        <v>105</v>
      </c>
      <c r="Q12" s="4" t="s">
        <v>51</v>
      </c>
      <c r="R12" s="1" t="s">
        <v>52</v>
      </c>
      <c r="S12" s="1" t="s">
        <v>53</v>
      </c>
      <c r="T12" s="4" t="s">
        <v>106</v>
      </c>
      <c r="U12" s="1">
        <v>1999.0</v>
      </c>
      <c r="V12" s="1"/>
      <c r="W12" s="1"/>
      <c r="X12" s="4" t="s">
        <v>55</v>
      </c>
      <c r="Y12" s="4" t="s">
        <v>99</v>
      </c>
      <c r="Z12" s="4" t="s">
        <v>108</v>
      </c>
      <c r="AA12" s="4" t="s">
        <v>108</v>
      </c>
      <c r="AB12" s="1" t="s">
        <v>109</v>
      </c>
      <c r="AC12" s="1" t="s">
        <v>110</v>
      </c>
      <c r="AD12" s="1" t="s">
        <v>111</v>
      </c>
      <c r="AE12" s="1" t="s">
        <v>112</v>
      </c>
      <c r="AF12" s="1" t="s">
        <v>113</v>
      </c>
      <c r="AG12" s="4" t="s">
        <v>62</v>
      </c>
      <c r="AH12" s="1">
        <v>7.0</v>
      </c>
      <c r="AI12" s="1">
        <v>8.0</v>
      </c>
      <c r="AJ12" s="1">
        <v>7.0</v>
      </c>
      <c r="AK12" s="1">
        <f t="shared" si="1"/>
        <v>22</v>
      </c>
      <c r="AL12" s="1">
        <v>2.0</v>
      </c>
      <c r="AM12" s="1">
        <v>394.0</v>
      </c>
      <c r="AN12" s="1">
        <f t="shared" si="2"/>
        <v>788</v>
      </c>
      <c r="AO12" s="1">
        <f t="shared" si="4"/>
        <v>1.101269036</v>
      </c>
      <c r="AP12" s="1"/>
    </row>
    <row r="13" ht="12.75" customHeight="1">
      <c r="A13" s="1" t="s">
        <v>163</v>
      </c>
      <c r="B13" s="1" t="s">
        <v>164</v>
      </c>
      <c r="C13" s="4" t="s">
        <v>44</v>
      </c>
      <c r="D13" s="1" t="s">
        <v>99</v>
      </c>
      <c r="E13" s="1" t="s">
        <v>100</v>
      </c>
      <c r="F13" s="1" t="s">
        <v>101</v>
      </c>
      <c r="G13" s="1"/>
      <c r="H13" s="1" t="s">
        <v>65</v>
      </c>
      <c r="I13" s="1" t="s">
        <v>166</v>
      </c>
      <c r="J13" s="1">
        <v>20.0</v>
      </c>
      <c r="K13" s="1">
        <v>30.0</v>
      </c>
      <c r="L13" s="1">
        <v>1937.0</v>
      </c>
      <c r="M13" s="1"/>
      <c r="N13" s="1"/>
      <c r="O13" s="1">
        <v>2001.0</v>
      </c>
      <c r="P13" s="1" t="s">
        <v>105</v>
      </c>
      <c r="Q13" s="4" t="s">
        <v>51</v>
      </c>
      <c r="R13" s="1" t="s">
        <v>52</v>
      </c>
      <c r="S13" s="1" t="s">
        <v>30</v>
      </c>
      <c r="T13" s="1" t="s">
        <v>168</v>
      </c>
      <c r="U13" s="4">
        <v>2941.0</v>
      </c>
      <c r="V13" s="1"/>
      <c r="W13" s="1"/>
      <c r="X13" s="4" t="s">
        <v>30</v>
      </c>
      <c r="Y13" s="4" t="s">
        <v>30</v>
      </c>
      <c r="Z13" s="4" t="s">
        <v>170</v>
      </c>
      <c r="AA13" s="1" t="s">
        <v>171</v>
      </c>
      <c r="AB13" s="1" t="s">
        <v>171</v>
      </c>
      <c r="AC13" s="1" t="s">
        <v>172</v>
      </c>
      <c r="AD13" s="1" t="s">
        <v>174</v>
      </c>
      <c r="AE13" s="1" t="s">
        <v>112</v>
      </c>
      <c r="AF13" s="1" t="s">
        <v>171</v>
      </c>
      <c r="AG13" s="4" t="s">
        <v>62</v>
      </c>
      <c r="AH13" s="1">
        <v>9.0</v>
      </c>
      <c r="AI13" s="1">
        <v>10.0</v>
      </c>
      <c r="AJ13" s="1">
        <v>9.0</v>
      </c>
      <c r="AK13" s="1">
        <f t="shared" si="1"/>
        <v>28</v>
      </c>
      <c r="AL13" s="1">
        <v>1.0</v>
      </c>
      <c r="AM13" s="1">
        <v>297.0</v>
      </c>
      <c r="AN13" s="1">
        <f t="shared" si="2"/>
        <v>297</v>
      </c>
      <c r="AO13" s="1">
        <f t="shared" si="4"/>
        <v>1.403367003</v>
      </c>
      <c r="AP13" s="1"/>
    </row>
    <row r="14" ht="12.75" customHeight="1">
      <c r="A14" s="1" t="s">
        <v>163</v>
      </c>
      <c r="B14" s="1" t="s">
        <v>177</v>
      </c>
      <c r="C14" s="4" t="s">
        <v>44</v>
      </c>
      <c r="D14" s="1" t="s">
        <v>99</v>
      </c>
      <c r="E14" s="1" t="s">
        <v>100</v>
      </c>
      <c r="F14" s="1" t="s">
        <v>101</v>
      </c>
      <c r="G14" s="1"/>
      <c r="H14" s="1" t="s">
        <v>65</v>
      </c>
      <c r="I14" s="1" t="s">
        <v>166</v>
      </c>
      <c r="J14" s="1">
        <v>20.0</v>
      </c>
      <c r="K14" s="1">
        <v>40.0</v>
      </c>
      <c r="L14" s="1">
        <v>1949.0</v>
      </c>
      <c r="M14" s="1"/>
      <c r="N14" s="1"/>
      <c r="O14" s="1">
        <v>2001.0</v>
      </c>
      <c r="P14" s="1" t="s">
        <v>105</v>
      </c>
      <c r="Q14" s="4" t="s">
        <v>51</v>
      </c>
      <c r="R14" s="1" t="s">
        <v>52</v>
      </c>
      <c r="S14" s="1" t="s">
        <v>30</v>
      </c>
      <c r="T14" s="1" t="s">
        <v>168</v>
      </c>
      <c r="U14" s="4">
        <v>3018.0</v>
      </c>
      <c r="V14" s="1"/>
      <c r="W14" s="1"/>
      <c r="X14" s="4" t="s">
        <v>30</v>
      </c>
      <c r="Y14" s="4" t="s">
        <v>30</v>
      </c>
      <c r="Z14" s="4" t="s">
        <v>170</v>
      </c>
      <c r="AA14" s="1" t="s">
        <v>171</v>
      </c>
      <c r="AB14" s="1" t="s">
        <v>171</v>
      </c>
      <c r="AC14" s="1" t="s">
        <v>172</v>
      </c>
      <c r="AD14" s="1" t="s">
        <v>174</v>
      </c>
      <c r="AE14" s="1" t="s">
        <v>112</v>
      </c>
      <c r="AF14" s="1" t="s">
        <v>171</v>
      </c>
      <c r="AG14" s="4" t="s">
        <v>62</v>
      </c>
      <c r="AH14" s="1">
        <v>9.0</v>
      </c>
      <c r="AI14" s="1">
        <v>10.0</v>
      </c>
      <c r="AJ14" s="1">
        <v>10.0</v>
      </c>
      <c r="AK14" s="1">
        <f t="shared" si="1"/>
        <v>29</v>
      </c>
      <c r="AL14" s="1">
        <v>1.0</v>
      </c>
      <c r="AM14" s="1">
        <v>1202.0</v>
      </c>
      <c r="AN14" s="1">
        <f t="shared" si="2"/>
        <v>1202</v>
      </c>
      <c r="AO14" s="1">
        <f t="shared" si="4"/>
        <v>1.450831947</v>
      </c>
      <c r="AP14" s="1"/>
    </row>
    <row r="15" ht="12.75" customHeight="1">
      <c r="A15" s="1" t="s">
        <v>97</v>
      </c>
      <c r="B15" s="1" t="s">
        <v>184</v>
      </c>
      <c r="C15" s="4" t="s">
        <v>44</v>
      </c>
      <c r="D15" s="1" t="s">
        <v>99</v>
      </c>
      <c r="E15" s="1" t="s">
        <v>100</v>
      </c>
      <c r="F15" s="1" t="s">
        <v>101</v>
      </c>
      <c r="G15" s="1"/>
      <c r="H15" s="1" t="s">
        <v>48</v>
      </c>
      <c r="I15" s="1" t="s">
        <v>103</v>
      </c>
      <c r="J15" s="1">
        <v>21.0</v>
      </c>
      <c r="K15" s="1">
        <v>0.0</v>
      </c>
      <c r="L15" s="1">
        <v>2000.0</v>
      </c>
      <c r="M15" s="1"/>
      <c r="N15" s="1"/>
      <c r="O15" s="1">
        <v>2001.0</v>
      </c>
      <c r="P15" s="1" t="s">
        <v>105</v>
      </c>
      <c r="Q15" s="4" t="s">
        <v>51</v>
      </c>
      <c r="R15" s="1" t="s">
        <v>52</v>
      </c>
      <c r="S15" s="1" t="s">
        <v>53</v>
      </c>
      <c r="T15" s="4" t="s">
        <v>106</v>
      </c>
      <c r="U15" s="1">
        <v>2000.0</v>
      </c>
      <c r="V15" s="1"/>
      <c r="W15" s="1"/>
      <c r="X15" s="4" t="s">
        <v>55</v>
      </c>
      <c r="Y15" s="4" t="s">
        <v>99</v>
      </c>
      <c r="Z15" s="4" t="s">
        <v>108</v>
      </c>
      <c r="AA15" s="4" t="s">
        <v>108</v>
      </c>
      <c r="AB15" s="1" t="s">
        <v>109</v>
      </c>
      <c r="AC15" s="1" t="s">
        <v>110</v>
      </c>
      <c r="AD15" s="1" t="s">
        <v>111</v>
      </c>
      <c r="AE15" s="1" t="s">
        <v>112</v>
      </c>
      <c r="AF15" s="1" t="s">
        <v>113</v>
      </c>
      <c r="AG15" s="4" t="s">
        <v>62</v>
      </c>
      <c r="AH15" s="1">
        <v>7.0</v>
      </c>
      <c r="AI15" s="1">
        <v>8.0</v>
      </c>
      <c r="AJ15" s="1">
        <v>7.0</v>
      </c>
      <c r="AK15" s="1">
        <f t="shared" si="1"/>
        <v>22</v>
      </c>
      <c r="AL15" s="1">
        <v>2.0</v>
      </c>
      <c r="AM15" s="1">
        <v>584.0</v>
      </c>
      <c r="AN15" s="1">
        <f t="shared" si="2"/>
        <v>1168</v>
      </c>
      <c r="AO15" s="1">
        <f t="shared" si="4"/>
        <v>1.100856164</v>
      </c>
      <c r="AP15" s="1"/>
    </row>
    <row r="16" ht="12.75" customHeight="1">
      <c r="A16" s="1" t="s">
        <v>193</v>
      </c>
      <c r="B16" s="1" t="s">
        <v>194</v>
      </c>
      <c r="C16" s="4" t="s">
        <v>44</v>
      </c>
      <c r="D16" s="1" t="s">
        <v>45</v>
      </c>
      <c r="E16" s="1" t="s">
        <v>46</v>
      </c>
      <c r="F16" s="1" t="s">
        <v>47</v>
      </c>
      <c r="G16" s="1" t="s">
        <v>194</v>
      </c>
      <c r="H16" s="1" t="s">
        <v>65</v>
      </c>
      <c r="I16" s="1" t="s">
        <v>49</v>
      </c>
      <c r="J16" s="1">
        <v>20.0</v>
      </c>
      <c r="K16" s="1">
        <v>90.0</v>
      </c>
      <c r="L16" s="1">
        <v>1999.0</v>
      </c>
      <c r="M16" s="1"/>
      <c r="N16" s="1"/>
      <c r="O16" s="1">
        <v>2002.0</v>
      </c>
      <c r="P16" s="1" t="s">
        <v>214</v>
      </c>
      <c r="Q16" s="4" t="s">
        <v>51</v>
      </c>
      <c r="R16" s="1" t="s">
        <v>52</v>
      </c>
      <c r="S16" s="1" t="s">
        <v>215</v>
      </c>
      <c r="T16" s="4" t="s">
        <v>91</v>
      </c>
      <c r="U16" s="1">
        <v>1999.0</v>
      </c>
      <c r="V16" s="1"/>
      <c r="W16" s="1"/>
      <c r="X16" s="4" t="s">
        <v>55</v>
      </c>
      <c r="Y16" s="4" t="s">
        <v>45</v>
      </c>
      <c r="Z16" s="1" t="s">
        <v>47</v>
      </c>
      <c r="AA16" s="1" t="s">
        <v>47</v>
      </c>
      <c r="AB16" s="1" t="s">
        <v>216</v>
      </c>
      <c r="AC16" s="1" t="s">
        <v>19</v>
      </c>
      <c r="AD16" s="1" t="s">
        <v>217</v>
      </c>
      <c r="AE16" s="1" t="s">
        <v>218</v>
      </c>
      <c r="AF16" s="1" t="s">
        <v>60</v>
      </c>
      <c r="AG16" s="4" t="s">
        <v>62</v>
      </c>
      <c r="AH16" s="1">
        <v>5.0</v>
      </c>
      <c r="AI16" s="1">
        <v>5.0</v>
      </c>
      <c r="AJ16" s="1">
        <v>5.0</v>
      </c>
      <c r="AK16" s="1">
        <f t="shared" si="1"/>
        <v>15</v>
      </c>
      <c r="AL16" s="1">
        <v>1.0</v>
      </c>
      <c r="AM16" s="1">
        <v>125.0</v>
      </c>
      <c r="AN16" s="1">
        <f t="shared" si="2"/>
        <v>125</v>
      </c>
      <c r="AO16" s="1">
        <f t="shared" si="4"/>
        <v>0.758</v>
      </c>
      <c r="AP16" s="1"/>
    </row>
    <row r="17" ht="12.75" customHeight="1">
      <c r="A17" s="1" t="s">
        <v>219</v>
      </c>
      <c r="B17" s="1" t="s">
        <v>220</v>
      </c>
      <c r="C17" s="4" t="s">
        <v>44</v>
      </c>
      <c r="D17" s="1" t="s">
        <v>45</v>
      </c>
      <c r="E17" s="1" t="s">
        <v>46</v>
      </c>
      <c r="F17" s="1" t="s">
        <v>47</v>
      </c>
      <c r="G17" s="1" t="s">
        <v>220</v>
      </c>
      <c r="H17" s="1" t="s">
        <v>65</v>
      </c>
      <c r="I17" s="1" t="s">
        <v>221</v>
      </c>
      <c r="J17" s="1">
        <v>19.0</v>
      </c>
      <c r="K17" s="1">
        <v>30.0</v>
      </c>
      <c r="L17" s="1">
        <v>1836.0</v>
      </c>
      <c r="M17" s="1"/>
      <c r="N17" s="1"/>
      <c r="O17" s="1">
        <v>2003.0</v>
      </c>
      <c r="P17" s="1" t="s">
        <v>222</v>
      </c>
      <c r="Q17" s="4" t="s">
        <v>51</v>
      </c>
      <c r="R17" s="1" t="s">
        <v>223</v>
      </c>
      <c r="S17" s="1" t="s">
        <v>224</v>
      </c>
      <c r="T17" s="1" t="s">
        <v>225</v>
      </c>
      <c r="U17" s="1">
        <v>1836.0</v>
      </c>
      <c r="V17" s="1"/>
      <c r="W17" s="1"/>
      <c r="X17" s="4" t="s">
        <v>55</v>
      </c>
      <c r="Y17" s="4" t="s">
        <v>45</v>
      </c>
      <c r="Z17" s="1" t="s">
        <v>47</v>
      </c>
      <c r="AA17" s="4" t="s">
        <v>226</v>
      </c>
      <c r="AB17" s="4" t="s">
        <v>226</v>
      </c>
      <c r="AC17" s="1" t="s">
        <v>69</v>
      </c>
      <c r="AD17" s="1" t="s">
        <v>227</v>
      </c>
      <c r="AE17" s="1" t="s">
        <v>60</v>
      </c>
      <c r="AF17" s="1" t="s">
        <v>60</v>
      </c>
      <c r="AG17" s="4" t="s">
        <v>62</v>
      </c>
      <c r="AH17" s="1">
        <v>6.0</v>
      </c>
      <c r="AI17" s="1">
        <v>6.0</v>
      </c>
      <c r="AJ17" s="1">
        <v>6.0</v>
      </c>
      <c r="AK17" s="1">
        <f t="shared" si="1"/>
        <v>18</v>
      </c>
      <c r="AL17" s="1">
        <v>1.0</v>
      </c>
      <c r="AM17" s="1">
        <v>438.0</v>
      </c>
      <c r="AN17" s="1">
        <f t="shared" si="2"/>
        <v>438</v>
      </c>
      <c r="AO17" s="1">
        <f t="shared" si="4"/>
        <v>0.902283105</v>
      </c>
      <c r="AP17" s="1"/>
    </row>
    <row r="18" ht="12.75" customHeight="1">
      <c r="A18" s="1" t="s">
        <v>228</v>
      </c>
      <c r="B18" s="1" t="s">
        <v>229</v>
      </c>
      <c r="C18" s="4" t="s">
        <v>44</v>
      </c>
      <c r="D18" s="1" t="s">
        <v>99</v>
      </c>
      <c r="E18" s="1" t="s">
        <v>173</v>
      </c>
      <c r="F18" s="1" t="s">
        <v>179</v>
      </c>
      <c r="G18" s="1" t="s">
        <v>229</v>
      </c>
      <c r="H18" s="1" t="s">
        <v>65</v>
      </c>
      <c r="I18" s="1" t="s">
        <v>49</v>
      </c>
      <c r="J18" s="1">
        <v>19.0</v>
      </c>
      <c r="K18" s="1">
        <v>60.0</v>
      </c>
      <c r="L18" s="1">
        <v>1862.0</v>
      </c>
      <c r="M18" s="1"/>
      <c r="N18" s="1"/>
      <c r="O18" s="1">
        <v>2003.0</v>
      </c>
      <c r="P18" s="1" t="s">
        <v>214</v>
      </c>
      <c r="Q18" s="4" t="s">
        <v>51</v>
      </c>
      <c r="R18" s="1" t="s">
        <v>52</v>
      </c>
      <c r="S18" s="1" t="s">
        <v>224</v>
      </c>
      <c r="T18" s="4" t="s">
        <v>230</v>
      </c>
      <c r="U18" s="4">
        <v>1830.0</v>
      </c>
      <c r="V18" s="1"/>
      <c r="W18" s="1"/>
      <c r="X18" s="4" t="s">
        <v>55</v>
      </c>
      <c r="Y18" s="4" t="s">
        <v>99</v>
      </c>
      <c r="Z18" s="1" t="s">
        <v>179</v>
      </c>
      <c r="AA18" s="1" t="s">
        <v>231</v>
      </c>
      <c r="AB18" s="1" t="s">
        <v>231</v>
      </c>
      <c r="AC18" s="1" t="s">
        <v>69</v>
      </c>
      <c r="AD18" s="1" t="s">
        <v>227</v>
      </c>
      <c r="AE18" s="1" t="s">
        <v>60</v>
      </c>
      <c r="AF18" s="1" t="s">
        <v>60</v>
      </c>
      <c r="AG18" s="4" t="s">
        <v>62</v>
      </c>
      <c r="AH18" s="1">
        <v>8.0</v>
      </c>
      <c r="AI18" s="1">
        <v>7.0</v>
      </c>
      <c r="AJ18" s="1">
        <v>7.0</v>
      </c>
      <c r="AK18" s="1">
        <f t="shared" si="1"/>
        <v>22</v>
      </c>
      <c r="AL18" s="1">
        <v>1.0</v>
      </c>
      <c r="AM18" s="1">
        <v>152.0</v>
      </c>
      <c r="AN18" s="1">
        <f t="shared" si="2"/>
        <v>152</v>
      </c>
      <c r="AO18" s="1">
        <f t="shared" si="4"/>
        <v>1.106578947</v>
      </c>
      <c r="AP18" s="1"/>
    </row>
    <row r="19" ht="12.75" customHeight="1">
      <c r="A19" s="1" t="s">
        <v>233</v>
      </c>
      <c r="B19" s="1" t="s">
        <v>235</v>
      </c>
      <c r="C19" s="4" t="s">
        <v>44</v>
      </c>
      <c r="D19" s="1" t="s">
        <v>45</v>
      </c>
      <c r="E19" s="1" t="s">
        <v>46</v>
      </c>
      <c r="F19" s="1" t="s">
        <v>47</v>
      </c>
      <c r="G19" s="1" t="s">
        <v>235</v>
      </c>
      <c r="H19" s="1" t="s">
        <v>65</v>
      </c>
      <c r="I19" s="1" t="s">
        <v>236</v>
      </c>
      <c r="J19" s="1">
        <v>19.0</v>
      </c>
      <c r="K19" s="1">
        <v>90.0</v>
      </c>
      <c r="L19" s="1">
        <v>1890.0</v>
      </c>
      <c r="M19" s="1"/>
      <c r="N19" s="1"/>
      <c r="O19" s="1">
        <v>2003.0</v>
      </c>
      <c r="P19" s="1" t="s">
        <v>222</v>
      </c>
      <c r="Q19" s="4" t="s">
        <v>51</v>
      </c>
      <c r="R19" s="1" t="s">
        <v>52</v>
      </c>
      <c r="S19" s="1" t="s">
        <v>238</v>
      </c>
      <c r="T19" s="1" t="s">
        <v>239</v>
      </c>
      <c r="U19" s="1">
        <v>1890.0</v>
      </c>
      <c r="V19" s="1"/>
      <c r="W19" s="1"/>
      <c r="X19" s="4" t="s">
        <v>55</v>
      </c>
      <c r="Y19" s="4" t="s">
        <v>45</v>
      </c>
      <c r="Z19" s="1" t="s">
        <v>47</v>
      </c>
      <c r="AA19" s="1" t="s">
        <v>226</v>
      </c>
      <c r="AB19" s="4" t="s">
        <v>240</v>
      </c>
      <c r="AC19" s="1" t="s">
        <v>92</v>
      </c>
      <c r="AD19" s="1" t="s">
        <v>241</v>
      </c>
      <c r="AE19" s="1" t="s">
        <v>60</v>
      </c>
      <c r="AF19" s="1" t="s">
        <v>60</v>
      </c>
      <c r="AG19" s="4" t="s">
        <v>62</v>
      </c>
      <c r="AH19" s="1">
        <v>7.0</v>
      </c>
      <c r="AI19" s="1">
        <v>7.0</v>
      </c>
      <c r="AJ19" s="1">
        <v>6.0</v>
      </c>
      <c r="AK19" s="1">
        <f t="shared" si="1"/>
        <v>20</v>
      </c>
      <c r="AL19" s="1">
        <v>1.0</v>
      </c>
      <c r="AM19" s="1">
        <v>194.0</v>
      </c>
      <c r="AN19" s="1">
        <f t="shared" si="2"/>
        <v>194</v>
      </c>
      <c r="AO19" s="1">
        <f t="shared" si="4"/>
        <v>1.005154639</v>
      </c>
      <c r="AP19" s="1"/>
    </row>
    <row r="20" ht="12.75" customHeight="1">
      <c r="A20" s="1" t="s">
        <v>242</v>
      </c>
      <c r="B20" s="1" t="s">
        <v>243</v>
      </c>
      <c r="C20" s="4" t="s">
        <v>44</v>
      </c>
      <c r="D20" s="1" t="s">
        <v>45</v>
      </c>
      <c r="E20" s="4" t="s">
        <v>124</v>
      </c>
      <c r="F20" s="1" t="s">
        <v>126</v>
      </c>
      <c r="G20" s="1"/>
      <c r="H20" s="1" t="s">
        <v>48</v>
      </c>
      <c r="I20" s="1" t="s">
        <v>245</v>
      </c>
      <c r="J20" s="1">
        <v>20.0</v>
      </c>
      <c r="K20" s="1">
        <v>70.0</v>
      </c>
      <c r="L20" s="1">
        <v>1976.0</v>
      </c>
      <c r="M20" s="1"/>
      <c r="N20" s="1"/>
      <c r="O20" s="1">
        <v>2003.0</v>
      </c>
      <c r="P20" s="1" t="s">
        <v>246</v>
      </c>
      <c r="Q20" s="4" t="s">
        <v>51</v>
      </c>
      <c r="R20" s="1" t="s">
        <v>52</v>
      </c>
      <c r="S20" s="1" t="s">
        <v>247</v>
      </c>
      <c r="T20" s="4" t="s">
        <v>248</v>
      </c>
      <c r="U20" s="4">
        <v>1791.0</v>
      </c>
      <c r="V20" s="1"/>
      <c r="W20" s="1"/>
      <c r="X20" s="4" t="s">
        <v>55</v>
      </c>
      <c r="Y20" s="4" t="s">
        <v>45</v>
      </c>
      <c r="Z20" s="1" t="s">
        <v>126</v>
      </c>
      <c r="AA20" s="1" t="s">
        <v>249</v>
      </c>
      <c r="AB20" s="1" t="s">
        <v>250</v>
      </c>
      <c r="AC20" s="1" t="s">
        <v>58</v>
      </c>
      <c r="AD20" s="1" t="s">
        <v>252</v>
      </c>
      <c r="AE20" s="1" t="s">
        <v>218</v>
      </c>
      <c r="AF20" s="1" t="s">
        <v>60</v>
      </c>
      <c r="AG20" s="4" t="s">
        <v>62</v>
      </c>
      <c r="AH20" s="1">
        <v>8.0</v>
      </c>
      <c r="AI20" s="1">
        <v>8.0</v>
      </c>
      <c r="AJ20" s="1">
        <v>8.0</v>
      </c>
      <c r="AK20" s="1">
        <f t="shared" si="1"/>
        <v>24</v>
      </c>
      <c r="AL20" s="1">
        <v>1.0</v>
      </c>
      <c r="AM20" s="1">
        <v>309.0</v>
      </c>
      <c r="AN20" s="1">
        <f t="shared" si="2"/>
        <v>309</v>
      </c>
      <c r="AO20" s="1">
        <f t="shared" si="4"/>
        <v>1.203236246</v>
      </c>
      <c r="AP20" s="1"/>
    </row>
    <row r="21" ht="12.75" customHeight="1">
      <c r="A21" s="1" t="s">
        <v>255</v>
      </c>
      <c r="B21" s="1" t="s">
        <v>257</v>
      </c>
      <c r="C21" s="4" t="s">
        <v>44</v>
      </c>
      <c r="D21" s="1" t="s">
        <v>45</v>
      </c>
      <c r="E21" s="4" t="s">
        <v>124</v>
      </c>
      <c r="F21" s="1" t="s">
        <v>126</v>
      </c>
      <c r="G21" s="1"/>
      <c r="H21" s="1" t="s">
        <v>48</v>
      </c>
      <c r="I21" s="1" t="s">
        <v>258</v>
      </c>
      <c r="J21" s="1">
        <v>20.0</v>
      </c>
      <c r="K21" s="1">
        <v>70.0</v>
      </c>
      <c r="L21" s="1">
        <v>1978.0</v>
      </c>
      <c r="M21" s="1"/>
      <c r="N21" s="1"/>
      <c r="O21" s="1">
        <v>2003.0</v>
      </c>
      <c r="P21" s="1" t="s">
        <v>246</v>
      </c>
      <c r="Q21" s="4" t="s">
        <v>51</v>
      </c>
      <c r="R21" s="1" t="s">
        <v>52</v>
      </c>
      <c r="S21" s="1" t="s">
        <v>30</v>
      </c>
      <c r="T21" s="1" t="s">
        <v>60</v>
      </c>
      <c r="U21" s="1">
        <v>1978.0</v>
      </c>
      <c r="V21" s="1"/>
      <c r="W21" s="1"/>
      <c r="X21" s="4" t="s">
        <v>30</v>
      </c>
      <c r="Y21" s="4" t="s">
        <v>30</v>
      </c>
      <c r="Z21" s="4" t="s">
        <v>260</v>
      </c>
      <c r="AA21" s="4" t="s">
        <v>260</v>
      </c>
      <c r="AB21" s="1" t="s">
        <v>174</v>
      </c>
      <c r="AC21" s="1" t="s">
        <v>261</v>
      </c>
      <c r="AD21" s="1" t="s">
        <v>263</v>
      </c>
      <c r="AE21" s="1" t="s">
        <v>112</v>
      </c>
      <c r="AF21" s="1" t="s">
        <v>60</v>
      </c>
      <c r="AG21" s="4" t="s">
        <v>62</v>
      </c>
      <c r="AH21" s="1">
        <v>4.0</v>
      </c>
      <c r="AI21" s="1">
        <v>5.0</v>
      </c>
      <c r="AJ21" s="1">
        <v>5.0</v>
      </c>
      <c r="AK21" s="1">
        <f t="shared" si="1"/>
        <v>14</v>
      </c>
      <c r="AL21" s="1">
        <v>1.0</v>
      </c>
      <c r="AM21" s="1">
        <v>384.0</v>
      </c>
      <c r="AN21" s="1">
        <f t="shared" si="2"/>
        <v>384</v>
      </c>
      <c r="AO21" s="1">
        <f t="shared" si="4"/>
        <v>0.7026041667</v>
      </c>
      <c r="AP21" s="1"/>
    </row>
    <row r="22" ht="12.75" customHeight="1">
      <c r="A22" s="1" t="s">
        <v>265</v>
      </c>
      <c r="B22" s="1" t="s">
        <v>267</v>
      </c>
      <c r="C22" s="4" t="s">
        <v>44</v>
      </c>
      <c r="D22" s="1" t="s">
        <v>99</v>
      </c>
      <c r="E22" s="1" t="s">
        <v>173</v>
      </c>
      <c r="F22" s="1" t="s">
        <v>178</v>
      </c>
      <c r="G22" s="4" t="s">
        <v>381</v>
      </c>
      <c r="H22" s="1" t="s">
        <v>65</v>
      </c>
      <c r="I22" s="1" t="s">
        <v>382</v>
      </c>
      <c r="J22" s="1">
        <v>20.0</v>
      </c>
      <c r="K22" s="1">
        <v>70.0</v>
      </c>
      <c r="L22" s="1">
        <v>1980.0</v>
      </c>
      <c r="M22" s="1"/>
      <c r="N22" s="1"/>
      <c r="O22" s="1">
        <v>2003.0</v>
      </c>
      <c r="P22" s="1" t="s">
        <v>246</v>
      </c>
      <c r="Q22" s="4" t="s">
        <v>51</v>
      </c>
      <c r="R22" s="1" t="s">
        <v>52</v>
      </c>
      <c r="S22" s="1" t="s">
        <v>270</v>
      </c>
      <c r="T22" s="1" t="s">
        <v>383</v>
      </c>
      <c r="U22" s="1">
        <v>1327.0</v>
      </c>
      <c r="V22" s="1"/>
      <c r="W22" s="1"/>
      <c r="X22" s="4" t="s">
        <v>55</v>
      </c>
      <c r="Y22" s="4" t="s">
        <v>99</v>
      </c>
      <c r="Z22" s="1" t="s">
        <v>178</v>
      </c>
      <c r="AA22" s="1" t="s">
        <v>384</v>
      </c>
      <c r="AB22" s="1" t="s">
        <v>384</v>
      </c>
      <c r="AC22" s="1" t="s">
        <v>58</v>
      </c>
      <c r="AD22" s="1" t="s">
        <v>385</v>
      </c>
      <c r="AE22" s="1" t="s">
        <v>386</v>
      </c>
      <c r="AF22" s="1" t="s">
        <v>60</v>
      </c>
      <c r="AG22" s="4" t="s">
        <v>62</v>
      </c>
      <c r="AH22" s="1">
        <v>9.0</v>
      </c>
      <c r="AI22" s="1">
        <v>9.0</v>
      </c>
      <c r="AJ22" s="1">
        <v>9.0</v>
      </c>
      <c r="AK22" s="1">
        <f t="shared" si="1"/>
        <v>27</v>
      </c>
      <c r="AL22" s="1">
        <v>1.0</v>
      </c>
      <c r="AM22" s="1">
        <v>518.0</v>
      </c>
      <c r="AN22" s="1">
        <f t="shared" si="2"/>
        <v>518</v>
      </c>
      <c r="AO22" s="1">
        <f t="shared" si="4"/>
        <v>1.351930502</v>
      </c>
      <c r="AP22" s="1"/>
    </row>
    <row r="23" ht="12.75" customHeight="1">
      <c r="A23" s="1" t="s">
        <v>387</v>
      </c>
      <c r="B23" s="1" t="s">
        <v>388</v>
      </c>
      <c r="C23" s="4" t="s">
        <v>44</v>
      </c>
      <c r="D23" s="1" t="s">
        <v>45</v>
      </c>
      <c r="E23" s="1" t="s">
        <v>46</v>
      </c>
      <c r="F23" s="1" t="s">
        <v>47</v>
      </c>
      <c r="G23" s="1" t="s">
        <v>388</v>
      </c>
      <c r="H23" s="1" t="s">
        <v>65</v>
      </c>
      <c r="I23" s="1" t="s">
        <v>389</v>
      </c>
      <c r="J23" s="1">
        <v>21.0</v>
      </c>
      <c r="K23" s="1">
        <v>0.0</v>
      </c>
      <c r="L23" s="1">
        <v>2000.0</v>
      </c>
      <c r="M23" s="1"/>
      <c r="N23" s="1"/>
      <c r="O23" s="1">
        <v>2003.0</v>
      </c>
      <c r="P23" s="1" t="s">
        <v>214</v>
      </c>
      <c r="Q23" s="4" t="s">
        <v>51</v>
      </c>
      <c r="R23" s="1" t="s">
        <v>52</v>
      </c>
      <c r="S23" s="1" t="s">
        <v>30</v>
      </c>
      <c r="T23" s="4" t="s">
        <v>91</v>
      </c>
      <c r="U23" s="1">
        <v>2000.0</v>
      </c>
      <c r="V23" s="1"/>
      <c r="W23" s="1"/>
      <c r="X23" s="4" t="s">
        <v>55</v>
      </c>
      <c r="Y23" s="4" t="s">
        <v>45</v>
      </c>
      <c r="Z23" s="1" t="s">
        <v>47</v>
      </c>
      <c r="AA23" s="4" t="s">
        <v>56</v>
      </c>
      <c r="AB23" s="1" t="s">
        <v>390</v>
      </c>
      <c r="AC23" s="1" t="s">
        <v>261</v>
      </c>
      <c r="AD23" s="1" t="s">
        <v>391</v>
      </c>
      <c r="AE23" s="1" t="s">
        <v>218</v>
      </c>
      <c r="AF23" s="1" t="s">
        <v>60</v>
      </c>
      <c r="AG23" s="4" t="s">
        <v>62</v>
      </c>
      <c r="AH23" s="1">
        <v>6.0</v>
      </c>
      <c r="AI23" s="1">
        <v>6.0</v>
      </c>
      <c r="AJ23" s="1">
        <v>6.0</v>
      </c>
      <c r="AK23" s="1">
        <f t="shared" si="1"/>
        <v>18</v>
      </c>
      <c r="AL23" s="1">
        <v>1.0</v>
      </c>
      <c r="AM23" s="1">
        <v>379.0</v>
      </c>
      <c r="AN23" s="1">
        <f t="shared" si="2"/>
        <v>379</v>
      </c>
      <c r="AO23" s="1">
        <f t="shared" si="4"/>
        <v>0.9026385224</v>
      </c>
      <c r="AP23" s="1"/>
    </row>
    <row r="24" ht="12.75" customHeight="1">
      <c r="A24" s="1" t="s">
        <v>97</v>
      </c>
      <c r="B24" s="1" t="s">
        <v>392</v>
      </c>
      <c r="C24" s="4" t="s">
        <v>44</v>
      </c>
      <c r="D24" s="1" t="s">
        <v>99</v>
      </c>
      <c r="E24" s="1" t="s">
        <v>100</v>
      </c>
      <c r="F24" s="1" t="s">
        <v>101</v>
      </c>
      <c r="G24" s="1"/>
      <c r="H24" s="1" t="s">
        <v>48</v>
      </c>
      <c r="I24" s="1" t="s">
        <v>103</v>
      </c>
      <c r="J24" s="1">
        <v>21.0</v>
      </c>
      <c r="K24" s="1">
        <v>0.0</v>
      </c>
      <c r="L24" s="1">
        <v>2003.0</v>
      </c>
      <c r="M24" s="1"/>
      <c r="N24" s="1"/>
      <c r="O24" s="1">
        <v>2003.0</v>
      </c>
      <c r="P24" s="1" t="s">
        <v>105</v>
      </c>
      <c r="Q24" s="4" t="s">
        <v>51</v>
      </c>
      <c r="R24" s="1" t="s">
        <v>52</v>
      </c>
      <c r="S24" s="1" t="s">
        <v>53</v>
      </c>
      <c r="T24" s="4" t="s">
        <v>106</v>
      </c>
      <c r="U24" s="1">
        <v>2003.0</v>
      </c>
      <c r="V24" s="1"/>
      <c r="W24" s="1"/>
      <c r="X24" s="4" t="s">
        <v>55</v>
      </c>
      <c r="Y24" s="4" t="s">
        <v>99</v>
      </c>
      <c r="Z24" s="4" t="s">
        <v>108</v>
      </c>
      <c r="AA24" s="4" t="s">
        <v>108</v>
      </c>
      <c r="AB24" s="1" t="s">
        <v>109</v>
      </c>
      <c r="AC24" s="1" t="s">
        <v>110</v>
      </c>
      <c r="AD24" s="1" t="s">
        <v>111</v>
      </c>
      <c r="AE24" s="1" t="s">
        <v>112</v>
      </c>
      <c r="AF24" s="1" t="s">
        <v>113</v>
      </c>
      <c r="AG24" s="4" t="s">
        <v>62</v>
      </c>
      <c r="AH24" s="1">
        <v>7.0</v>
      </c>
      <c r="AI24" s="1">
        <v>8.0</v>
      </c>
      <c r="AJ24" s="1">
        <v>7.0</v>
      </c>
      <c r="AK24" s="1">
        <f t="shared" si="1"/>
        <v>22</v>
      </c>
      <c r="AL24" s="1">
        <v>2.0</v>
      </c>
      <c r="AM24" s="1">
        <v>704.0</v>
      </c>
      <c r="AN24" s="1">
        <f t="shared" si="2"/>
        <v>1408</v>
      </c>
      <c r="AO24" s="1">
        <f t="shared" si="4"/>
        <v>1.100710227</v>
      </c>
      <c r="AP24" s="1"/>
    </row>
    <row r="25" ht="12.75" customHeight="1">
      <c r="A25" s="1" t="s">
        <v>393</v>
      </c>
      <c r="B25" s="1" t="s">
        <v>394</v>
      </c>
      <c r="C25" s="4" t="s">
        <v>44</v>
      </c>
      <c r="D25" s="1" t="s">
        <v>45</v>
      </c>
      <c r="E25" s="1" t="s">
        <v>46</v>
      </c>
      <c r="F25" s="1" t="s">
        <v>47</v>
      </c>
      <c r="G25" s="1" t="s">
        <v>394</v>
      </c>
      <c r="H25" s="1" t="s">
        <v>65</v>
      </c>
      <c r="I25" s="1" t="s">
        <v>49</v>
      </c>
      <c r="J25" s="1">
        <v>19.0</v>
      </c>
      <c r="K25" s="1">
        <v>40.0</v>
      </c>
      <c r="L25" s="1">
        <v>1844.0</v>
      </c>
      <c r="M25" s="1"/>
      <c r="N25" s="1"/>
      <c r="O25" s="1">
        <v>2004.0</v>
      </c>
      <c r="P25" s="1" t="s">
        <v>222</v>
      </c>
      <c r="Q25" s="4" t="s">
        <v>51</v>
      </c>
      <c r="R25" s="1" t="s">
        <v>52</v>
      </c>
      <c r="S25" s="1" t="s">
        <v>224</v>
      </c>
      <c r="T25" s="4" t="s">
        <v>395</v>
      </c>
      <c r="U25" s="1">
        <v>1844.0</v>
      </c>
      <c r="V25" s="1"/>
      <c r="W25" s="1"/>
      <c r="X25" s="4" t="s">
        <v>55</v>
      </c>
      <c r="Y25" s="4" t="s">
        <v>45</v>
      </c>
      <c r="Z25" s="1" t="s">
        <v>47</v>
      </c>
      <c r="AA25" s="1" t="s">
        <v>226</v>
      </c>
      <c r="AB25" s="1" t="s">
        <v>396</v>
      </c>
      <c r="AC25" s="1" t="s">
        <v>69</v>
      </c>
      <c r="AD25" s="1" t="s">
        <v>227</v>
      </c>
      <c r="AE25" s="1" t="s">
        <v>60</v>
      </c>
      <c r="AF25" s="1" t="s">
        <v>60</v>
      </c>
      <c r="AG25" s="4" t="s">
        <v>62</v>
      </c>
      <c r="AH25" s="1">
        <v>8.0</v>
      </c>
      <c r="AI25" s="1">
        <v>8.0</v>
      </c>
      <c r="AJ25" s="1">
        <v>8.0</v>
      </c>
      <c r="AK25" s="1">
        <f t="shared" si="1"/>
        <v>24</v>
      </c>
      <c r="AL25" s="1">
        <v>1.0</v>
      </c>
      <c r="AM25" s="1">
        <v>198.0</v>
      </c>
      <c r="AN25" s="1">
        <f t="shared" si="2"/>
        <v>198</v>
      </c>
      <c r="AO25" s="1">
        <f t="shared" si="4"/>
        <v>1.205050505</v>
      </c>
      <c r="AP25" s="1"/>
    </row>
    <row r="26" ht="12.75" customHeight="1">
      <c r="A26" s="1" t="s">
        <v>397</v>
      </c>
      <c r="B26" s="1" t="s">
        <v>398</v>
      </c>
      <c r="C26" s="4" t="s">
        <v>44</v>
      </c>
      <c r="D26" s="1" t="s">
        <v>45</v>
      </c>
      <c r="E26" s="1" t="s">
        <v>46</v>
      </c>
      <c r="F26" s="1" t="s">
        <v>47</v>
      </c>
      <c r="G26" s="1" t="s">
        <v>398</v>
      </c>
      <c r="H26" s="1" t="s">
        <v>65</v>
      </c>
      <c r="I26" s="1" t="s">
        <v>399</v>
      </c>
      <c r="J26" s="1">
        <v>19.0</v>
      </c>
      <c r="K26" s="1">
        <v>50.0</v>
      </c>
      <c r="L26" s="1">
        <v>1853.0</v>
      </c>
      <c r="M26" s="1"/>
      <c r="N26" s="1"/>
      <c r="O26" s="1">
        <v>2004.0</v>
      </c>
      <c r="P26" s="1" t="s">
        <v>222</v>
      </c>
      <c r="Q26" s="4" t="s">
        <v>51</v>
      </c>
      <c r="R26" s="1" t="s">
        <v>223</v>
      </c>
      <c r="S26" s="1" t="s">
        <v>224</v>
      </c>
      <c r="T26" s="4" t="s">
        <v>395</v>
      </c>
      <c r="U26" s="1">
        <v>1853.0</v>
      </c>
      <c r="V26" s="1"/>
      <c r="W26" s="1"/>
      <c r="X26" s="4" t="s">
        <v>55</v>
      </c>
      <c r="Y26" s="4" t="s">
        <v>45</v>
      </c>
      <c r="Z26" s="1" t="s">
        <v>47</v>
      </c>
      <c r="AA26" s="4" t="s">
        <v>226</v>
      </c>
      <c r="AB26" s="4" t="s">
        <v>226</v>
      </c>
      <c r="AC26" s="1" t="s">
        <v>69</v>
      </c>
      <c r="AD26" s="1" t="s">
        <v>227</v>
      </c>
      <c r="AE26" s="1" t="s">
        <v>143</v>
      </c>
      <c r="AF26" s="1" t="s">
        <v>60</v>
      </c>
      <c r="AG26" s="4" t="s">
        <v>62</v>
      </c>
      <c r="AH26" s="1">
        <v>6.0</v>
      </c>
      <c r="AI26" s="1">
        <v>6.0</v>
      </c>
      <c r="AJ26" s="1">
        <v>6.0</v>
      </c>
      <c r="AK26" s="1">
        <f t="shared" si="1"/>
        <v>18</v>
      </c>
      <c r="AL26" s="1">
        <v>1.0</v>
      </c>
      <c r="AM26" s="1">
        <v>232.0</v>
      </c>
      <c r="AN26" s="1">
        <f t="shared" si="2"/>
        <v>232</v>
      </c>
      <c r="AO26" s="1">
        <f t="shared" si="4"/>
        <v>0.9043103448</v>
      </c>
      <c r="AP26" s="1"/>
    </row>
    <row r="27" ht="12.75" customHeight="1">
      <c r="A27" s="1" t="s">
        <v>400</v>
      </c>
      <c r="B27" s="1" t="s">
        <v>401</v>
      </c>
      <c r="C27" s="4" t="s">
        <v>44</v>
      </c>
      <c r="D27" s="1" t="s">
        <v>45</v>
      </c>
      <c r="E27" s="1" t="s">
        <v>46</v>
      </c>
      <c r="F27" s="1" t="s">
        <v>47</v>
      </c>
      <c r="G27" s="1" t="s">
        <v>401</v>
      </c>
      <c r="H27" s="1" t="s">
        <v>65</v>
      </c>
      <c r="I27" s="1" t="s">
        <v>402</v>
      </c>
      <c r="J27" s="1">
        <v>19.0</v>
      </c>
      <c r="K27" s="1">
        <v>50.0</v>
      </c>
      <c r="L27" s="1">
        <v>1856.0</v>
      </c>
      <c r="M27" s="1"/>
      <c r="N27" s="1"/>
      <c r="O27" s="1">
        <v>2004.0</v>
      </c>
      <c r="P27" s="1" t="s">
        <v>222</v>
      </c>
      <c r="Q27" s="4" t="s">
        <v>51</v>
      </c>
      <c r="R27" s="1" t="s">
        <v>266</v>
      </c>
      <c r="S27" s="1" t="s">
        <v>224</v>
      </c>
      <c r="T27" s="4" t="s">
        <v>395</v>
      </c>
      <c r="U27" s="1">
        <v>1856.0</v>
      </c>
      <c r="V27" s="1"/>
      <c r="W27" s="1"/>
      <c r="X27" s="4" t="s">
        <v>55</v>
      </c>
      <c r="Y27" s="4" t="s">
        <v>45</v>
      </c>
      <c r="Z27" s="1" t="s">
        <v>47</v>
      </c>
      <c r="AA27" s="1" t="s">
        <v>226</v>
      </c>
      <c r="AB27" s="4" t="s">
        <v>403</v>
      </c>
      <c r="AC27" s="1" t="s">
        <v>69</v>
      </c>
      <c r="AD27" s="1" t="s">
        <v>227</v>
      </c>
      <c r="AE27" s="1" t="s">
        <v>60</v>
      </c>
      <c r="AF27" s="1" t="s">
        <v>60</v>
      </c>
      <c r="AG27" s="4" t="s">
        <v>62</v>
      </c>
      <c r="AH27" s="1">
        <v>7.0</v>
      </c>
      <c r="AI27" s="1">
        <v>7.0</v>
      </c>
      <c r="AJ27" s="1">
        <v>7.0</v>
      </c>
      <c r="AK27" s="1">
        <f t="shared" si="1"/>
        <v>21</v>
      </c>
      <c r="AL27" s="1">
        <v>1.0</v>
      </c>
      <c r="AM27" s="1">
        <v>152.0</v>
      </c>
      <c r="AN27" s="1">
        <f t="shared" si="2"/>
        <v>152</v>
      </c>
      <c r="AO27" s="1">
        <f t="shared" si="4"/>
        <v>1.056578947</v>
      </c>
      <c r="AP27" s="1"/>
    </row>
    <row r="28" ht="12.75" customHeight="1">
      <c r="A28" s="1" t="s">
        <v>400</v>
      </c>
      <c r="B28" s="1" t="s">
        <v>404</v>
      </c>
      <c r="C28" s="4" t="s">
        <v>44</v>
      </c>
      <c r="D28" s="1" t="s">
        <v>45</v>
      </c>
      <c r="E28" s="1" t="s">
        <v>46</v>
      </c>
      <c r="F28" s="1" t="s">
        <v>47</v>
      </c>
      <c r="G28" s="1" t="s">
        <v>404</v>
      </c>
      <c r="H28" s="1" t="s">
        <v>65</v>
      </c>
      <c r="I28" s="1" t="s">
        <v>49</v>
      </c>
      <c r="J28" s="1">
        <v>19.0</v>
      </c>
      <c r="K28" s="1">
        <v>50.0</v>
      </c>
      <c r="L28" s="1">
        <v>1857.0</v>
      </c>
      <c r="M28" s="1"/>
      <c r="N28" s="1"/>
      <c r="O28" s="1">
        <v>2004.0</v>
      </c>
      <c r="P28" s="1" t="s">
        <v>222</v>
      </c>
      <c r="Q28" s="4" t="s">
        <v>51</v>
      </c>
      <c r="R28" s="1" t="s">
        <v>52</v>
      </c>
      <c r="S28" s="1" t="s">
        <v>224</v>
      </c>
      <c r="T28" s="4" t="s">
        <v>395</v>
      </c>
      <c r="U28" s="1">
        <v>1857.0</v>
      </c>
      <c r="V28" s="1"/>
      <c r="W28" s="1"/>
      <c r="X28" s="4" t="s">
        <v>55</v>
      </c>
      <c r="Y28" s="4" t="s">
        <v>45</v>
      </c>
      <c r="Z28" s="1" t="s">
        <v>47</v>
      </c>
      <c r="AA28" s="1" t="s">
        <v>226</v>
      </c>
      <c r="AB28" s="1" t="s">
        <v>405</v>
      </c>
      <c r="AC28" s="1" t="s">
        <v>69</v>
      </c>
      <c r="AD28" s="1" t="s">
        <v>406</v>
      </c>
      <c r="AE28" s="1" t="s">
        <v>60</v>
      </c>
      <c r="AF28" s="1" t="s">
        <v>60</v>
      </c>
      <c r="AG28" s="4" t="s">
        <v>62</v>
      </c>
      <c r="AH28" s="1">
        <v>8.0</v>
      </c>
      <c r="AI28" s="1">
        <v>8.0</v>
      </c>
      <c r="AJ28" s="1">
        <v>8.0</v>
      </c>
      <c r="AK28" s="1">
        <f t="shared" si="1"/>
        <v>24</v>
      </c>
      <c r="AL28" s="1">
        <v>1.0</v>
      </c>
      <c r="AM28" s="1">
        <v>320.0</v>
      </c>
      <c r="AN28" s="1">
        <f t="shared" si="2"/>
        <v>320</v>
      </c>
      <c r="AO28" s="1">
        <f t="shared" si="4"/>
        <v>1.203125</v>
      </c>
      <c r="AP28" s="1"/>
    </row>
    <row r="29" ht="12.75" customHeight="1">
      <c r="A29" s="1" t="s">
        <v>400</v>
      </c>
      <c r="B29" s="1" t="s">
        <v>407</v>
      </c>
      <c r="C29" s="4" t="s">
        <v>44</v>
      </c>
      <c r="D29" s="1" t="s">
        <v>45</v>
      </c>
      <c r="E29" s="1" t="s">
        <v>46</v>
      </c>
      <c r="F29" s="1" t="s">
        <v>47</v>
      </c>
      <c r="G29" s="1" t="s">
        <v>407</v>
      </c>
      <c r="H29" s="1" t="s">
        <v>65</v>
      </c>
      <c r="I29" s="1" t="s">
        <v>49</v>
      </c>
      <c r="J29" s="1">
        <v>19.0</v>
      </c>
      <c r="K29" s="1">
        <v>60.0</v>
      </c>
      <c r="L29" s="1">
        <v>1862.0</v>
      </c>
      <c r="M29" s="1"/>
      <c r="N29" s="1"/>
      <c r="O29" s="1">
        <v>2004.0</v>
      </c>
      <c r="P29" s="1" t="s">
        <v>222</v>
      </c>
      <c r="Q29" s="4" t="s">
        <v>51</v>
      </c>
      <c r="R29" s="1" t="s">
        <v>52</v>
      </c>
      <c r="S29" s="1" t="s">
        <v>224</v>
      </c>
      <c r="T29" s="4" t="s">
        <v>395</v>
      </c>
      <c r="U29" s="1">
        <v>1862.0</v>
      </c>
      <c r="V29" s="1"/>
      <c r="W29" s="1"/>
      <c r="X29" s="4" t="s">
        <v>55</v>
      </c>
      <c r="Y29" s="4" t="s">
        <v>45</v>
      </c>
      <c r="Z29" s="1" t="s">
        <v>47</v>
      </c>
      <c r="AA29" s="1" t="s">
        <v>226</v>
      </c>
      <c r="AB29" s="4" t="s">
        <v>408</v>
      </c>
      <c r="AC29" s="1" t="s">
        <v>69</v>
      </c>
      <c r="AD29" s="1" t="s">
        <v>227</v>
      </c>
      <c r="AE29" s="1" t="s">
        <v>60</v>
      </c>
      <c r="AF29" s="1" t="s">
        <v>60</v>
      </c>
      <c r="AG29" s="4" t="s">
        <v>62</v>
      </c>
      <c r="AH29" s="1">
        <v>8.0</v>
      </c>
      <c r="AI29" s="1">
        <v>8.0</v>
      </c>
      <c r="AJ29" s="1">
        <v>8.0</v>
      </c>
      <c r="AK29" s="1">
        <f t="shared" si="1"/>
        <v>24</v>
      </c>
      <c r="AL29" s="1">
        <v>1.0</v>
      </c>
      <c r="AM29" s="1">
        <v>127.0</v>
      </c>
      <c r="AN29" s="1">
        <f t="shared" si="2"/>
        <v>127</v>
      </c>
      <c r="AO29" s="1">
        <f t="shared" si="4"/>
        <v>1.207874016</v>
      </c>
      <c r="AP29" s="1"/>
    </row>
    <row r="30" ht="12.75" customHeight="1">
      <c r="A30" s="1" t="s">
        <v>400</v>
      </c>
      <c r="B30" s="1" t="s">
        <v>409</v>
      </c>
      <c r="C30" s="4" t="s">
        <v>44</v>
      </c>
      <c r="D30" s="1" t="s">
        <v>45</v>
      </c>
      <c r="E30" s="1" t="s">
        <v>46</v>
      </c>
      <c r="F30" s="1" t="s">
        <v>47</v>
      </c>
      <c r="G30" s="1" t="s">
        <v>409</v>
      </c>
      <c r="H30" s="1" t="s">
        <v>65</v>
      </c>
      <c r="I30" s="1" t="s">
        <v>49</v>
      </c>
      <c r="J30" s="1">
        <v>19.0</v>
      </c>
      <c r="K30" s="1">
        <v>60.0</v>
      </c>
      <c r="L30" s="1">
        <v>1865.0</v>
      </c>
      <c r="M30" s="1"/>
      <c r="N30" s="1"/>
      <c r="O30" s="1">
        <v>2004.0</v>
      </c>
      <c r="P30" s="1" t="s">
        <v>222</v>
      </c>
      <c r="Q30" s="4" t="s">
        <v>51</v>
      </c>
      <c r="R30" s="1" t="s">
        <v>52</v>
      </c>
      <c r="S30" s="1" t="s">
        <v>224</v>
      </c>
      <c r="T30" s="4" t="s">
        <v>410</v>
      </c>
      <c r="U30" s="4">
        <v>1600.0</v>
      </c>
      <c r="V30" s="1"/>
      <c r="W30" s="1"/>
      <c r="X30" s="4" t="s">
        <v>55</v>
      </c>
      <c r="Y30" s="4" t="s">
        <v>45</v>
      </c>
      <c r="Z30" s="1" t="s">
        <v>47</v>
      </c>
      <c r="AA30" s="1" t="s">
        <v>411</v>
      </c>
      <c r="AB30" s="4" t="s">
        <v>412</v>
      </c>
      <c r="AC30" s="1" t="s">
        <v>69</v>
      </c>
      <c r="AD30" s="1" t="s">
        <v>406</v>
      </c>
      <c r="AE30" s="1" t="s">
        <v>60</v>
      </c>
      <c r="AF30" s="1" t="s">
        <v>60</v>
      </c>
      <c r="AG30" s="4" t="s">
        <v>62</v>
      </c>
      <c r="AH30" s="1">
        <v>7.0</v>
      </c>
      <c r="AI30" s="1">
        <v>7.0</v>
      </c>
      <c r="AJ30" s="1">
        <v>8.0</v>
      </c>
      <c r="AK30" s="1">
        <f t="shared" si="1"/>
        <v>22</v>
      </c>
      <c r="AL30" s="1">
        <v>1.0</v>
      </c>
      <c r="AM30" s="1">
        <v>91.0</v>
      </c>
      <c r="AN30" s="1">
        <f t="shared" si="2"/>
        <v>91</v>
      </c>
      <c r="AO30" s="1">
        <f t="shared" si="4"/>
        <v>1.110989011</v>
      </c>
      <c r="AP30" s="1"/>
    </row>
    <row r="31" ht="12.75" customHeight="1">
      <c r="A31" s="1" t="s">
        <v>400</v>
      </c>
      <c r="B31" s="1" t="s">
        <v>413</v>
      </c>
      <c r="C31" s="4" t="s">
        <v>44</v>
      </c>
      <c r="D31" s="1" t="s">
        <v>45</v>
      </c>
      <c r="E31" s="1" t="s">
        <v>46</v>
      </c>
      <c r="F31" s="1" t="s">
        <v>47</v>
      </c>
      <c r="G31" s="1" t="s">
        <v>413</v>
      </c>
      <c r="H31" s="1" t="s">
        <v>65</v>
      </c>
      <c r="I31" s="1" t="s">
        <v>49</v>
      </c>
      <c r="J31" s="1">
        <v>19.0</v>
      </c>
      <c r="K31" s="1">
        <v>70.0</v>
      </c>
      <c r="L31" s="1">
        <v>1875.0</v>
      </c>
      <c r="M31" s="1"/>
      <c r="N31" s="1"/>
      <c r="O31" s="1">
        <v>2004.0</v>
      </c>
      <c r="P31" s="1" t="s">
        <v>222</v>
      </c>
      <c r="Q31" s="4" t="s">
        <v>51</v>
      </c>
      <c r="R31" s="1" t="s">
        <v>52</v>
      </c>
      <c r="S31" s="1" t="s">
        <v>224</v>
      </c>
      <c r="T31" s="4" t="s">
        <v>395</v>
      </c>
      <c r="U31" s="1">
        <v>1875.0</v>
      </c>
      <c r="V31" s="1"/>
      <c r="W31" s="1"/>
      <c r="X31" s="4" t="s">
        <v>55</v>
      </c>
      <c r="Y31" s="4" t="s">
        <v>45</v>
      </c>
      <c r="Z31" s="1" t="s">
        <v>47</v>
      </c>
      <c r="AA31" s="1" t="s">
        <v>226</v>
      </c>
      <c r="AB31" s="4" t="s">
        <v>414</v>
      </c>
      <c r="AC31" s="1" t="s">
        <v>69</v>
      </c>
      <c r="AD31" s="1" t="s">
        <v>227</v>
      </c>
      <c r="AE31" s="1" t="s">
        <v>60</v>
      </c>
      <c r="AF31" s="1" t="s">
        <v>60</v>
      </c>
      <c r="AG31" s="4" t="s">
        <v>62</v>
      </c>
      <c r="AH31" s="1">
        <v>7.0</v>
      </c>
      <c r="AI31" s="1">
        <v>7.0</v>
      </c>
      <c r="AJ31" s="1">
        <v>7.0</v>
      </c>
      <c r="AK31" s="1">
        <f t="shared" si="1"/>
        <v>21</v>
      </c>
      <c r="AL31" s="1">
        <v>1.0</v>
      </c>
      <c r="AM31" s="1">
        <v>190.0</v>
      </c>
      <c r="AN31" s="1">
        <f t="shared" si="2"/>
        <v>190</v>
      </c>
      <c r="AO31" s="1">
        <f t="shared" si="4"/>
        <v>1.055263158</v>
      </c>
      <c r="AP31" s="1"/>
    </row>
    <row r="32" ht="12.75" customHeight="1">
      <c r="A32" s="1" t="s">
        <v>415</v>
      </c>
      <c r="B32" s="1" t="s">
        <v>416</v>
      </c>
      <c r="C32" s="4" t="s">
        <v>44</v>
      </c>
      <c r="D32" s="1" t="s">
        <v>45</v>
      </c>
      <c r="E32" s="1" t="s">
        <v>46</v>
      </c>
      <c r="F32" s="1" t="s">
        <v>47</v>
      </c>
      <c r="G32" s="1" t="s">
        <v>416</v>
      </c>
      <c r="H32" s="1" t="s">
        <v>65</v>
      </c>
      <c r="I32" s="1" t="s">
        <v>49</v>
      </c>
      <c r="J32" s="1">
        <v>19.0</v>
      </c>
      <c r="K32" s="1">
        <v>70.0</v>
      </c>
      <c r="L32" s="1">
        <v>1875.0</v>
      </c>
      <c r="M32" s="1"/>
      <c r="N32" s="1"/>
      <c r="O32" s="1">
        <v>2004.0</v>
      </c>
      <c r="P32" s="1" t="s">
        <v>222</v>
      </c>
      <c r="Q32" s="4" t="s">
        <v>51</v>
      </c>
      <c r="R32" s="1" t="s">
        <v>52</v>
      </c>
      <c r="S32" s="1" t="s">
        <v>224</v>
      </c>
      <c r="T32" s="4" t="s">
        <v>395</v>
      </c>
      <c r="U32" s="1">
        <v>1875.0</v>
      </c>
      <c r="V32" s="1"/>
      <c r="W32" s="1"/>
      <c r="X32" s="4" t="s">
        <v>55</v>
      </c>
      <c r="Y32" s="4" t="s">
        <v>45</v>
      </c>
      <c r="Z32" s="1" t="s">
        <v>47</v>
      </c>
      <c r="AA32" s="4" t="s">
        <v>226</v>
      </c>
      <c r="AB32" s="1" t="s">
        <v>417</v>
      </c>
      <c r="AC32" s="1" t="s">
        <v>69</v>
      </c>
      <c r="AD32" s="1" t="s">
        <v>418</v>
      </c>
      <c r="AE32" s="1" t="s">
        <v>60</v>
      </c>
      <c r="AF32" s="1" t="s">
        <v>60</v>
      </c>
      <c r="AG32" s="4" t="s">
        <v>62</v>
      </c>
      <c r="AH32" s="1">
        <v>6.0</v>
      </c>
      <c r="AI32" s="1">
        <v>7.0</v>
      </c>
      <c r="AJ32" s="1">
        <v>6.0</v>
      </c>
      <c r="AK32" s="1">
        <f t="shared" si="1"/>
        <v>19</v>
      </c>
      <c r="AL32" s="1">
        <v>1.0</v>
      </c>
      <c r="AM32" s="1">
        <v>132.0</v>
      </c>
      <c r="AN32" s="1">
        <f t="shared" si="2"/>
        <v>132</v>
      </c>
      <c r="AO32" s="1">
        <f t="shared" si="4"/>
        <v>0.9575757576</v>
      </c>
      <c r="AP32" s="1"/>
    </row>
    <row r="33" ht="12.75" customHeight="1">
      <c r="A33" s="1" t="s">
        <v>419</v>
      </c>
      <c r="B33" s="1" t="s">
        <v>420</v>
      </c>
      <c r="C33" s="4" t="s">
        <v>44</v>
      </c>
      <c r="D33" s="1" t="s">
        <v>45</v>
      </c>
      <c r="E33" s="1" t="s">
        <v>46</v>
      </c>
      <c r="F33" s="1" t="s">
        <v>47</v>
      </c>
      <c r="G33" s="1" t="s">
        <v>420</v>
      </c>
      <c r="H33" s="1" t="s">
        <v>65</v>
      </c>
      <c r="I33" s="1" t="s">
        <v>421</v>
      </c>
      <c r="J33" s="1">
        <v>19.0</v>
      </c>
      <c r="K33" s="1">
        <v>80.0</v>
      </c>
      <c r="L33" s="1">
        <v>1881.0</v>
      </c>
      <c r="M33" s="1"/>
      <c r="N33" s="1"/>
      <c r="O33" s="1">
        <v>2004.0</v>
      </c>
      <c r="P33" s="1" t="s">
        <v>222</v>
      </c>
      <c r="Q33" s="4" t="s">
        <v>51</v>
      </c>
      <c r="R33" s="1" t="s">
        <v>52</v>
      </c>
      <c r="S33" s="1" t="s">
        <v>272</v>
      </c>
      <c r="T33" s="4" t="s">
        <v>395</v>
      </c>
      <c r="U33" s="1">
        <v>1881.0</v>
      </c>
      <c r="V33" s="1"/>
      <c r="W33" s="1"/>
      <c r="X33" s="4" t="s">
        <v>55</v>
      </c>
      <c r="Y33" s="4" t="s">
        <v>45</v>
      </c>
      <c r="Z33" s="1" t="s">
        <v>47</v>
      </c>
      <c r="AA33" s="1" t="s">
        <v>226</v>
      </c>
      <c r="AB33" s="4" t="s">
        <v>403</v>
      </c>
      <c r="AC33" s="1" t="s">
        <v>422</v>
      </c>
      <c r="AD33" s="1" t="s">
        <v>423</v>
      </c>
      <c r="AE33" s="1" t="s">
        <v>143</v>
      </c>
      <c r="AF33" s="1" t="s">
        <v>60</v>
      </c>
      <c r="AG33" s="4" t="s">
        <v>62</v>
      </c>
      <c r="AH33" s="1">
        <v>8.0</v>
      </c>
      <c r="AI33" s="1">
        <v>8.0</v>
      </c>
      <c r="AJ33" s="1">
        <v>8.0</v>
      </c>
      <c r="AK33" s="1">
        <f t="shared" si="1"/>
        <v>24</v>
      </c>
      <c r="AL33" s="1">
        <v>1.0</v>
      </c>
      <c r="AM33" s="1">
        <v>281.0</v>
      </c>
      <c r="AN33" s="1">
        <f t="shared" si="2"/>
        <v>281</v>
      </c>
      <c r="AO33" s="1">
        <f t="shared" si="4"/>
        <v>1.203558719</v>
      </c>
      <c r="AP33" s="1"/>
    </row>
    <row r="34" ht="12.75" customHeight="1">
      <c r="A34" s="1" t="s">
        <v>419</v>
      </c>
      <c r="B34" s="1" t="s">
        <v>424</v>
      </c>
      <c r="C34" s="4" t="s">
        <v>44</v>
      </c>
      <c r="D34" s="1" t="s">
        <v>45</v>
      </c>
      <c r="E34" s="1" t="s">
        <v>46</v>
      </c>
      <c r="F34" s="1" t="s">
        <v>47</v>
      </c>
      <c r="G34" s="1" t="s">
        <v>424</v>
      </c>
      <c r="H34" s="1" t="s">
        <v>65</v>
      </c>
      <c r="I34" s="1" t="s">
        <v>49</v>
      </c>
      <c r="J34" s="1">
        <v>19.0</v>
      </c>
      <c r="K34" s="1">
        <v>90.0</v>
      </c>
      <c r="L34" s="1">
        <v>1896.0</v>
      </c>
      <c r="M34" s="1"/>
      <c r="N34" s="1"/>
      <c r="O34" s="1">
        <v>2004.0</v>
      </c>
      <c r="P34" s="1" t="s">
        <v>222</v>
      </c>
      <c r="Q34" s="4" t="s">
        <v>51</v>
      </c>
      <c r="R34" s="1" t="s">
        <v>266</v>
      </c>
      <c r="S34" s="1" t="s">
        <v>272</v>
      </c>
      <c r="T34" s="1" t="s">
        <v>239</v>
      </c>
      <c r="U34" s="1">
        <v>1896.0</v>
      </c>
      <c r="V34" s="1"/>
      <c r="W34" s="1"/>
      <c r="X34" s="4" t="s">
        <v>55</v>
      </c>
      <c r="Y34" s="4" t="s">
        <v>45</v>
      </c>
      <c r="Z34" s="1" t="s">
        <v>47</v>
      </c>
      <c r="AA34" s="1" t="s">
        <v>226</v>
      </c>
      <c r="AB34" s="1" t="s">
        <v>226</v>
      </c>
      <c r="AC34" s="1" t="s">
        <v>58</v>
      </c>
      <c r="AD34" s="1" t="s">
        <v>425</v>
      </c>
      <c r="AE34" s="1" t="s">
        <v>60</v>
      </c>
      <c r="AF34" s="1" t="s">
        <v>60</v>
      </c>
      <c r="AG34" s="4" t="s">
        <v>62</v>
      </c>
      <c r="AH34" s="1">
        <v>9.0</v>
      </c>
      <c r="AI34" s="1">
        <v>9.0</v>
      </c>
      <c r="AJ34" s="1">
        <v>8.0</v>
      </c>
      <c r="AK34" s="1">
        <f t="shared" si="1"/>
        <v>26</v>
      </c>
      <c r="AL34" s="1">
        <v>1.0</v>
      </c>
      <c r="AM34" s="1">
        <v>128.0</v>
      </c>
      <c r="AN34" s="1">
        <f t="shared" si="2"/>
        <v>128</v>
      </c>
      <c r="AO34" s="1">
        <f t="shared" si="4"/>
        <v>1.3078125</v>
      </c>
      <c r="AP34" s="1"/>
    </row>
    <row r="35" ht="12.75" customHeight="1">
      <c r="A35" s="1" t="s">
        <v>426</v>
      </c>
      <c r="B35" s="1" t="s">
        <v>427</v>
      </c>
      <c r="C35" s="4" t="s">
        <v>44</v>
      </c>
      <c r="D35" s="1" t="s">
        <v>45</v>
      </c>
      <c r="E35" s="1" t="s">
        <v>46</v>
      </c>
      <c r="F35" s="1" t="s">
        <v>47</v>
      </c>
      <c r="G35" s="1" t="s">
        <v>427</v>
      </c>
      <c r="H35" s="1" t="s">
        <v>65</v>
      </c>
      <c r="I35" s="1" t="s">
        <v>428</v>
      </c>
      <c r="J35" s="1">
        <v>20.0</v>
      </c>
      <c r="K35" s="1">
        <v>30.0</v>
      </c>
      <c r="L35" s="1">
        <v>1930.0</v>
      </c>
      <c r="M35" s="1"/>
      <c r="N35" s="1"/>
      <c r="O35" s="1">
        <v>2004.0</v>
      </c>
      <c r="P35" s="1" t="s">
        <v>222</v>
      </c>
      <c r="Q35" s="4" t="s">
        <v>51</v>
      </c>
      <c r="R35" s="1" t="s">
        <v>223</v>
      </c>
      <c r="S35" s="1" t="s">
        <v>269</v>
      </c>
      <c r="T35" s="1" t="s">
        <v>239</v>
      </c>
      <c r="U35" s="1">
        <v>1930.0</v>
      </c>
      <c r="V35" s="1"/>
      <c r="W35" s="1"/>
      <c r="X35" s="4" t="s">
        <v>55</v>
      </c>
      <c r="Y35" s="4" t="s">
        <v>45</v>
      </c>
      <c r="Z35" s="1" t="s">
        <v>47</v>
      </c>
      <c r="AA35" s="4" t="s">
        <v>429</v>
      </c>
      <c r="AB35" s="4" t="s">
        <v>430</v>
      </c>
      <c r="AC35" s="1" t="s">
        <v>69</v>
      </c>
      <c r="AD35" s="1" t="s">
        <v>227</v>
      </c>
      <c r="AE35" s="1" t="s">
        <v>60</v>
      </c>
      <c r="AF35" s="1" t="s">
        <v>60</v>
      </c>
      <c r="AG35" s="4" t="s">
        <v>62</v>
      </c>
      <c r="AH35" s="1">
        <v>6.0</v>
      </c>
      <c r="AI35" s="1">
        <v>6.0</v>
      </c>
      <c r="AJ35" s="1">
        <v>6.0</v>
      </c>
      <c r="AK35" s="1">
        <f t="shared" si="1"/>
        <v>18</v>
      </c>
      <c r="AL35" s="1">
        <v>1.0</v>
      </c>
      <c r="AM35" s="1">
        <v>156.0</v>
      </c>
      <c r="AN35" s="1">
        <f t="shared" si="2"/>
        <v>156</v>
      </c>
      <c r="AO35" s="1">
        <f t="shared" si="4"/>
        <v>0.9064102564</v>
      </c>
      <c r="AP35" s="1"/>
    </row>
    <row r="36" ht="12.75" customHeight="1">
      <c r="A36" s="1" t="s">
        <v>431</v>
      </c>
      <c r="B36" s="1" t="s">
        <v>432</v>
      </c>
      <c r="C36" s="4" t="s">
        <v>44</v>
      </c>
      <c r="D36" s="1" t="s">
        <v>45</v>
      </c>
      <c r="E36" s="1" t="s">
        <v>46</v>
      </c>
      <c r="F36" s="1" t="s">
        <v>47</v>
      </c>
      <c r="G36" s="1" t="s">
        <v>432</v>
      </c>
      <c r="H36" s="1" t="s">
        <v>65</v>
      </c>
      <c r="I36" s="1" t="s">
        <v>428</v>
      </c>
      <c r="J36" s="1">
        <v>20.0</v>
      </c>
      <c r="K36" s="1">
        <v>30.0</v>
      </c>
      <c r="L36" s="1">
        <v>1934.0</v>
      </c>
      <c r="M36" s="1"/>
      <c r="N36" s="1"/>
      <c r="O36" s="1">
        <v>2004.0</v>
      </c>
      <c r="P36" s="1" t="s">
        <v>222</v>
      </c>
      <c r="Q36" s="4" t="s">
        <v>51</v>
      </c>
      <c r="R36" s="1" t="s">
        <v>52</v>
      </c>
      <c r="S36" s="1" t="s">
        <v>269</v>
      </c>
      <c r="T36" s="4" t="s">
        <v>54</v>
      </c>
      <c r="U36" s="1">
        <v>1934.0</v>
      </c>
      <c r="V36" s="1"/>
      <c r="W36" s="1"/>
      <c r="X36" s="4" t="s">
        <v>55</v>
      </c>
      <c r="Y36" s="4" t="s">
        <v>45</v>
      </c>
      <c r="Z36" s="1" t="s">
        <v>47</v>
      </c>
      <c r="AA36" s="4" t="s">
        <v>433</v>
      </c>
      <c r="AB36" s="4" t="s">
        <v>433</v>
      </c>
      <c r="AC36" s="4" t="s">
        <v>434</v>
      </c>
      <c r="AD36" s="1" t="s">
        <v>435</v>
      </c>
      <c r="AE36" s="1" t="s">
        <v>60</v>
      </c>
      <c r="AF36" s="1" t="s">
        <v>60</v>
      </c>
      <c r="AG36" s="4" t="s">
        <v>62</v>
      </c>
      <c r="AH36" s="1">
        <v>7.0</v>
      </c>
      <c r="AI36" s="1">
        <v>7.0</v>
      </c>
      <c r="AJ36" s="1">
        <v>7.0</v>
      </c>
      <c r="AK36" s="1">
        <f t="shared" si="1"/>
        <v>21</v>
      </c>
      <c r="AL36" s="1">
        <v>1.0</v>
      </c>
      <c r="AM36" s="1">
        <v>219.0</v>
      </c>
      <c r="AN36" s="1">
        <f t="shared" si="2"/>
        <v>219</v>
      </c>
      <c r="AO36" s="1">
        <f t="shared" si="4"/>
        <v>1.05456621</v>
      </c>
      <c r="AP36" s="1"/>
    </row>
    <row r="37" ht="12.75" customHeight="1">
      <c r="A37" s="1" t="s">
        <v>436</v>
      </c>
      <c r="B37" s="1" t="s">
        <v>437</v>
      </c>
      <c r="C37" s="4" t="s">
        <v>44</v>
      </c>
      <c r="D37" s="1" t="s">
        <v>45</v>
      </c>
      <c r="E37" s="1" t="s">
        <v>46</v>
      </c>
      <c r="F37" s="1" t="s">
        <v>47</v>
      </c>
      <c r="G37" s="1" t="s">
        <v>437</v>
      </c>
      <c r="H37" s="1" t="s">
        <v>65</v>
      </c>
      <c r="I37" s="1" t="s">
        <v>382</v>
      </c>
      <c r="J37" s="1">
        <v>20.0</v>
      </c>
      <c r="K37" s="1">
        <v>40.0</v>
      </c>
      <c r="L37" s="1">
        <v>1943.0</v>
      </c>
      <c r="M37" s="1"/>
      <c r="N37" s="1"/>
      <c r="O37" s="1">
        <v>2004.0</v>
      </c>
      <c r="P37" s="1" t="s">
        <v>222</v>
      </c>
      <c r="Q37" s="4" t="s">
        <v>51</v>
      </c>
      <c r="R37" s="1" t="s">
        <v>274</v>
      </c>
      <c r="S37" s="1" t="s">
        <v>269</v>
      </c>
      <c r="T37" s="4" t="s">
        <v>54</v>
      </c>
      <c r="U37" s="1">
        <v>1943.0</v>
      </c>
      <c r="V37" s="1"/>
      <c r="W37" s="1"/>
      <c r="X37" s="4" t="s">
        <v>55</v>
      </c>
      <c r="Y37" s="4" t="s">
        <v>45</v>
      </c>
      <c r="Z37" s="1" t="s">
        <v>47</v>
      </c>
      <c r="AA37" s="1" t="s">
        <v>226</v>
      </c>
      <c r="AB37" s="4" t="s">
        <v>438</v>
      </c>
      <c r="AC37" s="4" t="s">
        <v>439</v>
      </c>
      <c r="AD37" s="1" t="s">
        <v>423</v>
      </c>
      <c r="AE37" s="1" t="s">
        <v>423</v>
      </c>
      <c r="AF37" s="1" t="s">
        <v>60</v>
      </c>
      <c r="AG37" s="4" t="s">
        <v>62</v>
      </c>
      <c r="AH37" s="4">
        <v>8.0</v>
      </c>
      <c r="AI37" s="4">
        <v>8.0</v>
      </c>
      <c r="AJ37" s="4">
        <v>8.0</v>
      </c>
      <c r="AK37" s="1">
        <f t="shared" si="1"/>
        <v>24</v>
      </c>
      <c r="AL37" s="1">
        <v>1.0</v>
      </c>
      <c r="AM37" s="1">
        <v>67.0</v>
      </c>
      <c r="AN37" s="1">
        <f t="shared" si="2"/>
        <v>67</v>
      </c>
      <c r="AO37" s="1">
        <f t="shared" si="4"/>
        <v>1.214925373</v>
      </c>
      <c r="AP37" s="1"/>
    </row>
    <row r="38" ht="12.75" customHeight="1">
      <c r="A38" s="1" t="s">
        <v>440</v>
      </c>
      <c r="B38" s="1" t="s">
        <v>441</v>
      </c>
      <c r="C38" s="4" t="s">
        <v>44</v>
      </c>
      <c r="D38" s="1" t="s">
        <v>45</v>
      </c>
      <c r="E38" s="1" t="s">
        <v>46</v>
      </c>
      <c r="F38" s="1" t="s">
        <v>47</v>
      </c>
      <c r="G38" s="1" t="s">
        <v>441</v>
      </c>
      <c r="H38" s="1" t="s">
        <v>65</v>
      </c>
      <c r="I38" s="1" t="s">
        <v>382</v>
      </c>
      <c r="J38" s="1">
        <v>20.0</v>
      </c>
      <c r="K38" s="1">
        <v>40.0</v>
      </c>
      <c r="L38" s="1">
        <v>1946.0</v>
      </c>
      <c r="M38" s="1"/>
      <c r="N38" s="1"/>
      <c r="O38" s="1">
        <v>2004.0</v>
      </c>
      <c r="P38" s="1" t="s">
        <v>222</v>
      </c>
      <c r="Q38" s="4" t="s">
        <v>51</v>
      </c>
      <c r="R38" s="1" t="s">
        <v>266</v>
      </c>
      <c r="S38" s="1" t="s">
        <v>269</v>
      </c>
      <c r="T38" s="1" t="s">
        <v>239</v>
      </c>
      <c r="U38" s="1">
        <v>1900.0</v>
      </c>
      <c r="V38" s="1"/>
      <c r="W38" s="1"/>
      <c r="X38" s="4" t="s">
        <v>55</v>
      </c>
      <c r="Y38" s="4" t="s">
        <v>45</v>
      </c>
      <c r="Z38" s="1" t="s">
        <v>47</v>
      </c>
      <c r="AA38" s="4" t="s">
        <v>429</v>
      </c>
      <c r="AB38" s="4" t="s">
        <v>442</v>
      </c>
      <c r="AC38" s="1" t="s">
        <v>92</v>
      </c>
      <c r="AD38" s="1" t="s">
        <v>425</v>
      </c>
      <c r="AE38" s="1" t="s">
        <v>60</v>
      </c>
      <c r="AF38" s="1" t="s">
        <v>60</v>
      </c>
      <c r="AG38" s="4" t="s">
        <v>62</v>
      </c>
      <c r="AH38" s="1">
        <v>6.0</v>
      </c>
      <c r="AI38" s="1">
        <v>6.0</v>
      </c>
      <c r="AJ38" s="1">
        <v>6.0</v>
      </c>
      <c r="AK38" s="1">
        <f t="shared" si="1"/>
        <v>18</v>
      </c>
      <c r="AL38" s="1">
        <v>1.0</v>
      </c>
      <c r="AM38" s="1">
        <v>52.0</v>
      </c>
      <c r="AN38" s="1">
        <f t="shared" si="2"/>
        <v>52</v>
      </c>
      <c r="AO38" s="1">
        <f t="shared" si="4"/>
        <v>0.9192307692</v>
      </c>
      <c r="AP38" s="1"/>
    </row>
    <row r="39" ht="12.75" customHeight="1">
      <c r="A39" s="1" t="s">
        <v>443</v>
      </c>
      <c r="B39" s="1" t="s">
        <v>444</v>
      </c>
      <c r="C39" s="4" t="s">
        <v>44</v>
      </c>
      <c r="D39" s="1" t="s">
        <v>45</v>
      </c>
      <c r="E39" s="1" t="s">
        <v>46</v>
      </c>
      <c r="F39" s="1" t="s">
        <v>47</v>
      </c>
      <c r="G39" s="1" t="s">
        <v>444</v>
      </c>
      <c r="H39" s="1" t="s">
        <v>65</v>
      </c>
      <c r="I39" s="1" t="s">
        <v>402</v>
      </c>
      <c r="J39" s="1">
        <v>20.0</v>
      </c>
      <c r="K39" s="1">
        <v>70.0</v>
      </c>
      <c r="L39" s="1">
        <v>1975.0</v>
      </c>
      <c r="M39" s="1"/>
      <c r="N39" s="1"/>
      <c r="O39" s="1">
        <v>2004.0</v>
      </c>
      <c r="P39" s="1" t="s">
        <v>222</v>
      </c>
      <c r="Q39" s="4" t="s">
        <v>51</v>
      </c>
      <c r="R39" s="1" t="s">
        <v>266</v>
      </c>
      <c r="S39" s="1" t="s">
        <v>269</v>
      </c>
      <c r="T39" s="1" t="s">
        <v>75</v>
      </c>
      <c r="U39" s="1">
        <v>1975.0</v>
      </c>
      <c r="V39" s="1"/>
      <c r="W39" s="1"/>
      <c r="X39" s="4" t="s">
        <v>55</v>
      </c>
      <c r="Y39" s="4" t="s">
        <v>45</v>
      </c>
      <c r="Z39" s="1" t="s">
        <v>47</v>
      </c>
      <c r="AA39" s="1" t="s">
        <v>226</v>
      </c>
      <c r="AB39" s="4" t="s">
        <v>445</v>
      </c>
      <c r="AC39" s="1" t="s">
        <v>58</v>
      </c>
      <c r="AD39" s="1" t="s">
        <v>143</v>
      </c>
      <c r="AE39" s="1" t="s">
        <v>60</v>
      </c>
      <c r="AF39" s="1" t="s">
        <v>60</v>
      </c>
      <c r="AG39" s="4" t="s">
        <v>62</v>
      </c>
      <c r="AH39" s="1">
        <v>7.0</v>
      </c>
      <c r="AI39" s="1">
        <v>7.0</v>
      </c>
      <c r="AJ39" s="1">
        <v>7.0</v>
      </c>
      <c r="AK39" s="1">
        <f t="shared" si="1"/>
        <v>21</v>
      </c>
      <c r="AL39" s="1">
        <v>1.0</v>
      </c>
      <c r="AM39" s="1">
        <v>110.0</v>
      </c>
      <c r="AN39" s="1">
        <f t="shared" si="2"/>
        <v>110</v>
      </c>
      <c r="AO39" s="1">
        <f t="shared" si="4"/>
        <v>1.059090909</v>
      </c>
      <c r="AP39" s="1"/>
    </row>
    <row r="40" ht="12.75" customHeight="1">
      <c r="A40" s="1" t="s">
        <v>446</v>
      </c>
      <c r="B40" s="1" t="s">
        <v>447</v>
      </c>
      <c r="C40" s="4" t="s">
        <v>44</v>
      </c>
      <c r="D40" s="1" t="s">
        <v>45</v>
      </c>
      <c r="E40" s="1" t="s">
        <v>46</v>
      </c>
      <c r="F40" s="1" t="s">
        <v>47</v>
      </c>
      <c r="G40" s="1" t="s">
        <v>447</v>
      </c>
      <c r="H40" s="1" t="s">
        <v>48</v>
      </c>
      <c r="I40" s="1" t="s">
        <v>103</v>
      </c>
      <c r="J40" s="1">
        <v>20.0</v>
      </c>
      <c r="K40" s="1">
        <v>70.0</v>
      </c>
      <c r="L40" s="1">
        <v>1977.0</v>
      </c>
      <c r="M40" s="1"/>
      <c r="N40" s="1"/>
      <c r="O40" s="1">
        <v>2004.0</v>
      </c>
      <c r="P40" s="1" t="s">
        <v>222</v>
      </c>
      <c r="Q40" s="4" t="s">
        <v>51</v>
      </c>
      <c r="R40" s="1" t="s">
        <v>52</v>
      </c>
      <c r="S40" s="1" t="s">
        <v>269</v>
      </c>
      <c r="T40" s="1" t="s">
        <v>75</v>
      </c>
      <c r="U40" s="1">
        <v>1977.0</v>
      </c>
      <c r="V40" s="1"/>
      <c r="W40" s="1"/>
      <c r="X40" s="4" t="s">
        <v>55</v>
      </c>
      <c r="Y40" s="4" t="s">
        <v>45</v>
      </c>
      <c r="Z40" s="1" t="s">
        <v>47</v>
      </c>
      <c r="AA40" s="4" t="s">
        <v>226</v>
      </c>
      <c r="AB40" s="4" t="s">
        <v>448</v>
      </c>
      <c r="AC40" s="4" t="s">
        <v>449</v>
      </c>
      <c r="AD40" s="4" t="s">
        <v>47</v>
      </c>
      <c r="AE40" s="1" t="s">
        <v>143</v>
      </c>
      <c r="AF40" s="1" t="s">
        <v>60</v>
      </c>
      <c r="AG40" s="4" t="s">
        <v>62</v>
      </c>
      <c r="AH40" s="1">
        <v>7.0</v>
      </c>
      <c r="AI40" s="1">
        <v>6.0</v>
      </c>
      <c r="AJ40" s="1">
        <v>7.0</v>
      </c>
      <c r="AK40" s="1">
        <f t="shared" si="1"/>
        <v>20</v>
      </c>
      <c r="AL40" s="1">
        <v>1.0</v>
      </c>
      <c r="AM40" s="1">
        <v>88.0</v>
      </c>
      <c r="AN40" s="1">
        <f t="shared" si="2"/>
        <v>88</v>
      </c>
      <c r="AO40" s="1">
        <f t="shared" si="4"/>
        <v>1.011363636</v>
      </c>
      <c r="AP40" s="1"/>
    </row>
    <row r="41" ht="12.75" customHeight="1">
      <c r="A41" s="1" t="s">
        <v>450</v>
      </c>
      <c r="B41" s="1" t="s">
        <v>451</v>
      </c>
      <c r="C41" s="4" t="s">
        <v>44</v>
      </c>
      <c r="D41" s="1" t="s">
        <v>45</v>
      </c>
      <c r="E41" s="1" t="s">
        <v>46</v>
      </c>
      <c r="F41" s="1" t="s">
        <v>47</v>
      </c>
      <c r="G41" s="1" t="s">
        <v>451</v>
      </c>
      <c r="H41" s="1" t="s">
        <v>65</v>
      </c>
      <c r="I41" s="1" t="s">
        <v>382</v>
      </c>
      <c r="J41" s="1">
        <v>20.0</v>
      </c>
      <c r="K41" s="1">
        <v>80.0</v>
      </c>
      <c r="L41" s="1">
        <v>1984.0</v>
      </c>
      <c r="M41" s="1"/>
      <c r="N41" s="1"/>
      <c r="O41" s="1">
        <v>2004.0</v>
      </c>
      <c r="P41" s="1" t="s">
        <v>222</v>
      </c>
      <c r="Q41" s="4" t="s">
        <v>51</v>
      </c>
      <c r="R41" s="1" t="s">
        <v>223</v>
      </c>
      <c r="S41" s="1" t="s">
        <v>269</v>
      </c>
      <c r="T41" s="4" t="s">
        <v>452</v>
      </c>
      <c r="U41" s="4">
        <v>1825.0</v>
      </c>
      <c r="V41" s="4">
        <v>1.0</v>
      </c>
      <c r="W41" s="1"/>
      <c r="X41" s="4" t="s">
        <v>55</v>
      </c>
      <c r="Y41" s="4" t="s">
        <v>45</v>
      </c>
      <c r="Z41" s="1" t="s">
        <v>47</v>
      </c>
      <c r="AA41" s="1" t="s">
        <v>453</v>
      </c>
      <c r="AB41" s="11" t="s">
        <v>454</v>
      </c>
      <c r="AC41" s="1" t="s">
        <v>69</v>
      </c>
      <c r="AD41" s="1" t="s">
        <v>455</v>
      </c>
      <c r="AE41" s="1" t="s">
        <v>60</v>
      </c>
      <c r="AF41" s="1" t="s">
        <v>60</v>
      </c>
      <c r="AG41" s="4" t="s">
        <v>62</v>
      </c>
      <c r="AH41" s="1">
        <v>6.0</v>
      </c>
      <c r="AI41" s="1">
        <v>6.0</v>
      </c>
      <c r="AJ41" s="1">
        <v>6.0</v>
      </c>
      <c r="AK41" s="1">
        <f t="shared" si="1"/>
        <v>18</v>
      </c>
      <c r="AL41" s="1">
        <v>1.0</v>
      </c>
      <c r="AM41" s="1">
        <v>112.0</v>
      </c>
      <c r="AN41" s="1">
        <f t="shared" si="2"/>
        <v>112</v>
      </c>
      <c r="AO41" s="1">
        <f t="shared" si="4"/>
        <v>0.9089285714</v>
      </c>
      <c r="AP41" s="1"/>
    </row>
    <row r="42" ht="12.75" customHeight="1">
      <c r="A42" s="1" t="s">
        <v>456</v>
      </c>
      <c r="B42" s="1" t="s">
        <v>457</v>
      </c>
      <c r="C42" s="4" t="s">
        <v>44</v>
      </c>
      <c r="D42" s="1" t="s">
        <v>45</v>
      </c>
      <c r="E42" s="1" t="s">
        <v>46</v>
      </c>
      <c r="F42" s="1" t="s">
        <v>47</v>
      </c>
      <c r="G42" s="1" t="s">
        <v>457</v>
      </c>
      <c r="H42" s="1" t="s">
        <v>65</v>
      </c>
      <c r="I42" s="1" t="s">
        <v>458</v>
      </c>
      <c r="J42" s="1">
        <v>18.0</v>
      </c>
      <c r="K42" s="1">
        <v>90.0</v>
      </c>
      <c r="L42" s="1">
        <v>1792.0</v>
      </c>
      <c r="M42" s="1"/>
      <c r="N42" s="1"/>
      <c r="O42" s="1">
        <v>2005.0</v>
      </c>
      <c r="P42" s="1" t="s">
        <v>222</v>
      </c>
      <c r="Q42" s="4" t="s">
        <v>51</v>
      </c>
      <c r="R42" s="1" t="s">
        <v>280</v>
      </c>
      <c r="S42" s="1" t="s">
        <v>281</v>
      </c>
      <c r="T42" s="4" t="s">
        <v>410</v>
      </c>
      <c r="U42" s="1">
        <v>1792.0</v>
      </c>
      <c r="V42" s="1"/>
      <c r="W42" s="1"/>
      <c r="X42" s="4" t="s">
        <v>55</v>
      </c>
      <c r="Y42" s="4" t="s">
        <v>45</v>
      </c>
      <c r="Z42" s="1" t="s">
        <v>47</v>
      </c>
      <c r="AA42" s="4" t="s">
        <v>429</v>
      </c>
      <c r="AB42" s="4" t="s">
        <v>459</v>
      </c>
      <c r="AC42" s="1" t="s">
        <v>69</v>
      </c>
      <c r="AD42" s="1" t="s">
        <v>227</v>
      </c>
      <c r="AE42" s="1" t="s">
        <v>460</v>
      </c>
      <c r="AF42" s="1" t="s">
        <v>60</v>
      </c>
      <c r="AG42" s="4" t="s">
        <v>62</v>
      </c>
      <c r="AH42" s="1">
        <v>6.0</v>
      </c>
      <c r="AI42" s="1">
        <v>6.0</v>
      </c>
      <c r="AJ42" s="1">
        <v>6.0</v>
      </c>
      <c r="AK42" s="1">
        <f t="shared" si="1"/>
        <v>18</v>
      </c>
      <c r="AL42" s="1">
        <v>1.0</v>
      </c>
      <c r="AM42" s="1">
        <v>190.0</v>
      </c>
      <c r="AN42" s="1">
        <f t="shared" si="2"/>
        <v>190</v>
      </c>
      <c r="AO42" s="1">
        <f t="shared" si="4"/>
        <v>0.9052631579</v>
      </c>
      <c r="AP42" s="1"/>
    </row>
    <row r="43" ht="12.75" customHeight="1">
      <c r="A43" s="1" t="s">
        <v>461</v>
      </c>
      <c r="B43" s="1" t="s">
        <v>462</v>
      </c>
      <c r="C43" s="4" t="s">
        <v>44</v>
      </c>
      <c r="D43" s="1" t="s">
        <v>45</v>
      </c>
      <c r="E43" s="1" t="s">
        <v>46</v>
      </c>
      <c r="F43" s="1" t="s">
        <v>47</v>
      </c>
      <c r="G43" s="1" t="s">
        <v>462</v>
      </c>
      <c r="H43" s="1" t="s">
        <v>65</v>
      </c>
      <c r="I43" s="1" t="s">
        <v>463</v>
      </c>
      <c r="J43" s="1">
        <v>20.0</v>
      </c>
      <c r="K43" s="1">
        <v>20.0</v>
      </c>
      <c r="L43" s="1">
        <v>1928.0</v>
      </c>
      <c r="M43" s="1"/>
      <c r="N43" s="1"/>
      <c r="O43" s="1">
        <v>2005.0</v>
      </c>
      <c r="P43" s="1" t="s">
        <v>464</v>
      </c>
      <c r="Q43" s="4" t="s">
        <v>51</v>
      </c>
      <c r="R43" s="1" t="s">
        <v>52</v>
      </c>
      <c r="S43" s="1" t="s">
        <v>269</v>
      </c>
      <c r="T43" s="1" t="s">
        <v>239</v>
      </c>
      <c r="U43" s="1">
        <v>1928.0</v>
      </c>
      <c r="V43" s="1"/>
      <c r="W43" s="1"/>
      <c r="X43" s="4" t="s">
        <v>55</v>
      </c>
      <c r="Y43" s="4" t="s">
        <v>45</v>
      </c>
      <c r="Z43" s="1" t="s">
        <v>47</v>
      </c>
      <c r="AA43" s="1" t="s">
        <v>139</v>
      </c>
      <c r="AB43" s="1" t="s">
        <v>139</v>
      </c>
      <c r="AC43" s="1" t="s">
        <v>465</v>
      </c>
      <c r="AD43" s="1" t="s">
        <v>47</v>
      </c>
      <c r="AE43" s="1" t="s">
        <v>466</v>
      </c>
      <c r="AF43" s="1" t="s">
        <v>60</v>
      </c>
      <c r="AG43" s="4" t="s">
        <v>62</v>
      </c>
      <c r="AH43" s="1">
        <v>5.0</v>
      </c>
      <c r="AI43" s="1">
        <v>6.0</v>
      </c>
      <c r="AJ43" s="1">
        <v>5.0</v>
      </c>
      <c r="AK43" s="1">
        <f t="shared" si="1"/>
        <v>16</v>
      </c>
      <c r="AL43" s="1">
        <v>1.0</v>
      </c>
      <c r="AM43" s="1">
        <v>175.0</v>
      </c>
      <c r="AN43" s="1">
        <f t="shared" si="2"/>
        <v>175</v>
      </c>
      <c r="AO43" s="1">
        <f t="shared" si="4"/>
        <v>0.8057142857</v>
      </c>
      <c r="AP43" s="1"/>
    </row>
    <row r="44" ht="12.75" customHeight="1">
      <c r="A44" s="1" t="s">
        <v>255</v>
      </c>
      <c r="B44" s="1" t="s">
        <v>467</v>
      </c>
      <c r="C44" s="4" t="s">
        <v>44</v>
      </c>
      <c r="D44" s="1" t="s">
        <v>45</v>
      </c>
      <c r="E44" s="4" t="s">
        <v>124</v>
      </c>
      <c r="F44" s="1" t="s">
        <v>126</v>
      </c>
      <c r="G44" s="1"/>
      <c r="H44" s="1" t="s">
        <v>48</v>
      </c>
      <c r="I44" s="1" t="s">
        <v>468</v>
      </c>
      <c r="J44" s="1">
        <v>20.0</v>
      </c>
      <c r="K44" s="1">
        <v>80.0</v>
      </c>
      <c r="L44" s="1">
        <v>1982.0</v>
      </c>
      <c r="M44" s="1"/>
      <c r="N44" s="1"/>
      <c r="O44" s="1">
        <v>2005.0</v>
      </c>
      <c r="P44" s="1" t="s">
        <v>246</v>
      </c>
      <c r="Q44" s="4" t="s">
        <v>51</v>
      </c>
      <c r="R44" s="1" t="s">
        <v>52</v>
      </c>
      <c r="S44" s="1" t="s">
        <v>30</v>
      </c>
      <c r="T44" s="4" t="s">
        <v>469</v>
      </c>
      <c r="U44" s="4">
        <v>539.0</v>
      </c>
      <c r="V44" s="1"/>
      <c r="W44" s="1"/>
      <c r="X44" s="4" t="s">
        <v>55</v>
      </c>
      <c r="Y44" s="4" t="s">
        <v>99</v>
      </c>
      <c r="Z44" s="4" t="s">
        <v>101</v>
      </c>
      <c r="AA44" s="4" t="s">
        <v>470</v>
      </c>
      <c r="AB44" s="4" t="s">
        <v>471</v>
      </c>
      <c r="AC44" s="1" t="s">
        <v>261</v>
      </c>
      <c r="AD44" s="1" t="s">
        <v>111</v>
      </c>
      <c r="AE44" s="1" t="s">
        <v>112</v>
      </c>
      <c r="AF44" s="1" t="s">
        <v>472</v>
      </c>
      <c r="AG44" s="4" t="s">
        <v>62</v>
      </c>
      <c r="AH44" s="1">
        <v>6.0</v>
      </c>
      <c r="AI44" s="1">
        <v>6.0</v>
      </c>
      <c r="AJ44" s="1">
        <v>6.0</v>
      </c>
      <c r="AK44" s="1">
        <f t="shared" si="1"/>
        <v>18</v>
      </c>
      <c r="AL44" s="1">
        <v>1.0</v>
      </c>
      <c r="AM44" s="1">
        <v>262.0</v>
      </c>
      <c r="AN44" s="1">
        <f t="shared" si="2"/>
        <v>262</v>
      </c>
      <c r="AO44" s="1">
        <f t="shared" si="4"/>
        <v>0.9038167939</v>
      </c>
      <c r="AP44" s="1"/>
    </row>
    <row r="45" ht="12.75" customHeight="1">
      <c r="A45" s="1" t="s">
        <v>255</v>
      </c>
      <c r="B45" s="1" t="s">
        <v>473</v>
      </c>
      <c r="C45" s="4" t="s">
        <v>44</v>
      </c>
      <c r="D45" s="1" t="s">
        <v>45</v>
      </c>
      <c r="E45" s="4" t="s">
        <v>124</v>
      </c>
      <c r="F45" s="1" t="s">
        <v>126</v>
      </c>
      <c r="G45" s="1"/>
      <c r="H45" s="1" t="s">
        <v>48</v>
      </c>
      <c r="I45" s="1" t="s">
        <v>468</v>
      </c>
      <c r="J45" s="1">
        <v>20.0</v>
      </c>
      <c r="K45" s="1">
        <v>80.0</v>
      </c>
      <c r="L45" s="1">
        <v>1982.0</v>
      </c>
      <c r="M45" s="1"/>
      <c r="N45" s="1"/>
      <c r="O45" s="1">
        <v>2005.0</v>
      </c>
      <c r="P45" s="1" t="s">
        <v>246</v>
      </c>
      <c r="Q45" s="4" t="s">
        <v>51</v>
      </c>
      <c r="R45" s="1" t="s">
        <v>52</v>
      </c>
      <c r="S45" s="1" t="s">
        <v>30</v>
      </c>
      <c r="T45" s="4" t="s">
        <v>469</v>
      </c>
      <c r="U45" s="4">
        <v>539.0</v>
      </c>
      <c r="V45" s="1"/>
      <c r="W45" s="1"/>
      <c r="X45" s="4" t="s">
        <v>55</v>
      </c>
      <c r="Y45" s="4" t="s">
        <v>99</v>
      </c>
      <c r="Z45" s="4" t="s">
        <v>101</v>
      </c>
      <c r="AA45" s="4" t="s">
        <v>470</v>
      </c>
      <c r="AB45" s="4" t="s">
        <v>471</v>
      </c>
      <c r="AC45" s="1" t="s">
        <v>261</v>
      </c>
      <c r="AD45" s="1" t="s">
        <v>111</v>
      </c>
      <c r="AE45" s="1" t="s">
        <v>112</v>
      </c>
      <c r="AF45" s="1" t="s">
        <v>472</v>
      </c>
      <c r="AG45" s="4" t="s">
        <v>62</v>
      </c>
      <c r="AH45" s="1">
        <v>6.0</v>
      </c>
      <c r="AI45" s="1">
        <v>6.0</v>
      </c>
      <c r="AJ45" s="1">
        <v>6.0</v>
      </c>
      <c r="AK45" s="1">
        <f t="shared" si="1"/>
        <v>18</v>
      </c>
      <c r="AL45" s="1">
        <v>1.0</v>
      </c>
      <c r="AM45" s="1">
        <v>284.0</v>
      </c>
      <c r="AN45" s="1">
        <f t="shared" si="2"/>
        <v>284</v>
      </c>
      <c r="AO45" s="1">
        <f t="shared" si="4"/>
        <v>0.9035211268</v>
      </c>
      <c r="AP45" s="1"/>
    </row>
    <row r="46" ht="12.75" customHeight="1">
      <c r="A46" s="1" t="s">
        <v>255</v>
      </c>
      <c r="B46" s="1" t="s">
        <v>474</v>
      </c>
      <c r="C46" s="4" t="s">
        <v>44</v>
      </c>
      <c r="D46" s="1" t="s">
        <v>45</v>
      </c>
      <c r="E46" s="4" t="s">
        <v>124</v>
      </c>
      <c r="F46" s="1" t="s">
        <v>126</v>
      </c>
      <c r="G46" s="1"/>
      <c r="H46" s="1" t="s">
        <v>48</v>
      </c>
      <c r="I46" s="1" t="s">
        <v>468</v>
      </c>
      <c r="J46" s="1">
        <v>20.0</v>
      </c>
      <c r="K46" s="1">
        <v>80.0</v>
      </c>
      <c r="L46" s="1">
        <v>1982.0</v>
      </c>
      <c r="M46" s="1"/>
      <c r="N46" s="1"/>
      <c r="O46" s="1">
        <v>2005.0</v>
      </c>
      <c r="P46" s="1" t="s">
        <v>246</v>
      </c>
      <c r="Q46" s="4" t="s">
        <v>51</v>
      </c>
      <c r="R46" s="1" t="s">
        <v>52</v>
      </c>
      <c r="S46" s="1" t="s">
        <v>30</v>
      </c>
      <c r="T46" s="4" t="s">
        <v>469</v>
      </c>
      <c r="U46" s="4">
        <v>539.0</v>
      </c>
      <c r="V46" s="1"/>
      <c r="W46" s="1"/>
      <c r="X46" s="4" t="s">
        <v>55</v>
      </c>
      <c r="Y46" s="4" t="s">
        <v>99</v>
      </c>
      <c r="Z46" s="4" t="s">
        <v>101</v>
      </c>
      <c r="AA46" s="4" t="s">
        <v>470</v>
      </c>
      <c r="AB46" s="4" t="s">
        <v>471</v>
      </c>
      <c r="AC46" s="1" t="s">
        <v>261</v>
      </c>
      <c r="AD46" s="1" t="s">
        <v>111</v>
      </c>
      <c r="AE46" s="1" t="s">
        <v>112</v>
      </c>
      <c r="AF46" s="1" t="s">
        <v>472</v>
      </c>
      <c r="AG46" s="4" t="s">
        <v>62</v>
      </c>
      <c r="AH46" s="1">
        <v>6.0</v>
      </c>
      <c r="AI46" s="1">
        <v>6.0</v>
      </c>
      <c r="AJ46" s="1">
        <v>6.0</v>
      </c>
      <c r="AK46" s="1">
        <f t="shared" si="1"/>
        <v>18</v>
      </c>
      <c r="AL46" s="1">
        <v>1.0</v>
      </c>
      <c r="AM46" s="1">
        <v>298.0</v>
      </c>
      <c r="AN46" s="1">
        <f t="shared" si="2"/>
        <v>298</v>
      </c>
      <c r="AO46" s="1">
        <f t="shared" si="4"/>
        <v>0.9033557047</v>
      </c>
      <c r="AP46" s="1"/>
    </row>
    <row r="47" ht="12.75" customHeight="1">
      <c r="A47" s="1" t="s">
        <v>255</v>
      </c>
      <c r="B47" s="1" t="s">
        <v>475</v>
      </c>
      <c r="C47" s="4" t="s">
        <v>44</v>
      </c>
      <c r="D47" s="1" t="s">
        <v>45</v>
      </c>
      <c r="E47" s="4" t="s">
        <v>124</v>
      </c>
      <c r="F47" s="1" t="s">
        <v>126</v>
      </c>
      <c r="G47" s="1"/>
      <c r="H47" s="1" t="s">
        <v>48</v>
      </c>
      <c r="I47" s="1" t="s">
        <v>258</v>
      </c>
      <c r="J47" s="1">
        <v>20.0</v>
      </c>
      <c r="K47" s="1">
        <v>80.0</v>
      </c>
      <c r="L47" s="1">
        <v>1982.0</v>
      </c>
      <c r="M47" s="1"/>
      <c r="N47" s="1"/>
      <c r="O47" s="1">
        <v>2005.0</v>
      </c>
      <c r="P47" s="1" t="s">
        <v>105</v>
      </c>
      <c r="Q47" s="4" t="s">
        <v>51</v>
      </c>
      <c r="R47" s="1" t="s">
        <v>52</v>
      </c>
      <c r="S47" s="1" t="s">
        <v>30</v>
      </c>
      <c r="T47" s="4" t="s">
        <v>469</v>
      </c>
      <c r="U47" s="4">
        <v>539.0</v>
      </c>
      <c r="V47" s="1"/>
      <c r="W47" s="1"/>
      <c r="X47" s="4" t="s">
        <v>55</v>
      </c>
      <c r="Y47" s="4" t="s">
        <v>99</v>
      </c>
      <c r="Z47" s="4" t="s">
        <v>101</v>
      </c>
      <c r="AA47" s="4" t="s">
        <v>470</v>
      </c>
      <c r="AB47" s="4" t="s">
        <v>471</v>
      </c>
      <c r="AC47" s="1" t="s">
        <v>261</v>
      </c>
      <c r="AD47" s="1" t="s">
        <v>111</v>
      </c>
      <c r="AE47" s="1" t="s">
        <v>112</v>
      </c>
      <c r="AF47" s="1" t="s">
        <v>472</v>
      </c>
      <c r="AG47" s="4" t="s">
        <v>62</v>
      </c>
      <c r="AH47" s="1">
        <v>5.0</v>
      </c>
      <c r="AI47" s="1">
        <v>5.0</v>
      </c>
      <c r="AJ47" s="1">
        <v>5.0</v>
      </c>
      <c r="AK47" s="1">
        <f t="shared" si="1"/>
        <v>15</v>
      </c>
      <c r="AL47" s="1">
        <v>1.0</v>
      </c>
      <c r="AM47" s="1">
        <v>314.0</v>
      </c>
      <c r="AN47" s="1">
        <f t="shared" si="2"/>
        <v>314</v>
      </c>
      <c r="AO47" s="1">
        <f t="shared" si="4"/>
        <v>0.7531847134</v>
      </c>
      <c r="AP47" s="1"/>
    </row>
    <row r="48" ht="12.75" customHeight="1">
      <c r="A48" s="1" t="s">
        <v>476</v>
      </c>
      <c r="B48" s="1" t="s">
        <v>477</v>
      </c>
      <c r="C48" s="4" t="s">
        <v>44</v>
      </c>
      <c r="D48" s="1" t="s">
        <v>45</v>
      </c>
      <c r="E48" s="1" t="s">
        <v>46</v>
      </c>
      <c r="F48" s="1" t="s">
        <v>47</v>
      </c>
      <c r="G48" s="1" t="s">
        <v>477</v>
      </c>
      <c r="H48" s="1" t="s">
        <v>65</v>
      </c>
      <c r="I48" s="1" t="s">
        <v>458</v>
      </c>
      <c r="J48" s="1">
        <v>20.0</v>
      </c>
      <c r="K48" s="1">
        <v>90.0</v>
      </c>
      <c r="L48" s="1">
        <v>1994.0</v>
      </c>
      <c r="M48" s="1"/>
      <c r="N48" s="1"/>
      <c r="O48" s="1">
        <v>2005.0</v>
      </c>
      <c r="P48" s="1" t="s">
        <v>464</v>
      </c>
      <c r="Q48" s="4" t="s">
        <v>51</v>
      </c>
      <c r="R48" s="1" t="s">
        <v>273</v>
      </c>
      <c r="S48" s="1" t="s">
        <v>215</v>
      </c>
      <c r="T48" s="4" t="s">
        <v>91</v>
      </c>
      <c r="U48" s="1">
        <v>1994.0</v>
      </c>
      <c r="V48" s="1"/>
      <c r="W48" s="1"/>
      <c r="X48" s="4" t="s">
        <v>55</v>
      </c>
      <c r="Y48" s="4" t="s">
        <v>45</v>
      </c>
      <c r="Z48" s="1" t="s">
        <v>47</v>
      </c>
      <c r="AA48" s="1" t="s">
        <v>139</v>
      </c>
      <c r="AB48" s="1" t="s">
        <v>478</v>
      </c>
      <c r="AC48" s="1" t="s">
        <v>58</v>
      </c>
      <c r="AD48" s="1" t="s">
        <v>479</v>
      </c>
      <c r="AE48" s="1" t="s">
        <v>60</v>
      </c>
      <c r="AF48" s="1" t="s">
        <v>60</v>
      </c>
      <c r="AG48" s="4" t="s">
        <v>62</v>
      </c>
      <c r="AH48" s="1">
        <v>4.0</v>
      </c>
      <c r="AI48" s="1">
        <v>5.0</v>
      </c>
      <c r="AJ48" s="1">
        <v>5.0</v>
      </c>
      <c r="AK48" s="1">
        <f t="shared" si="1"/>
        <v>14</v>
      </c>
      <c r="AL48" s="1">
        <v>1.0</v>
      </c>
      <c r="AM48" s="1">
        <v>326.0</v>
      </c>
      <c r="AN48" s="1">
        <f t="shared" si="2"/>
        <v>326</v>
      </c>
      <c r="AO48" s="1">
        <f t="shared" si="4"/>
        <v>0.7030674847</v>
      </c>
      <c r="AP48" s="1"/>
    </row>
    <row r="49" ht="12.75" customHeight="1">
      <c r="A49" s="1" t="s">
        <v>476</v>
      </c>
      <c r="B49" s="1" t="s">
        <v>480</v>
      </c>
      <c r="C49" s="4" t="s">
        <v>44</v>
      </c>
      <c r="D49" s="1" t="s">
        <v>45</v>
      </c>
      <c r="E49" s="1" t="s">
        <v>46</v>
      </c>
      <c r="F49" s="1" t="s">
        <v>47</v>
      </c>
      <c r="G49" s="1" t="s">
        <v>480</v>
      </c>
      <c r="H49" s="1" t="s">
        <v>65</v>
      </c>
      <c r="I49" s="1" t="s">
        <v>458</v>
      </c>
      <c r="J49" s="1">
        <v>20.0</v>
      </c>
      <c r="K49" s="1">
        <v>90.0</v>
      </c>
      <c r="L49" s="1">
        <v>1996.0</v>
      </c>
      <c r="M49" s="1"/>
      <c r="N49" s="1"/>
      <c r="O49" s="1">
        <v>2005.0</v>
      </c>
      <c r="P49" s="1" t="s">
        <v>464</v>
      </c>
      <c r="Q49" s="4" t="s">
        <v>51</v>
      </c>
      <c r="R49" s="1" t="s">
        <v>273</v>
      </c>
      <c r="S49" s="1" t="s">
        <v>215</v>
      </c>
      <c r="T49" s="4" t="s">
        <v>91</v>
      </c>
      <c r="U49" s="1">
        <v>1996.0</v>
      </c>
      <c r="V49" s="1"/>
      <c r="W49" s="1"/>
      <c r="X49" s="4" t="s">
        <v>55</v>
      </c>
      <c r="Y49" s="4" t="s">
        <v>45</v>
      </c>
      <c r="Z49" s="1" t="s">
        <v>47</v>
      </c>
      <c r="AA49" s="1" t="s">
        <v>481</v>
      </c>
      <c r="AB49" s="4" t="s">
        <v>482</v>
      </c>
      <c r="AC49" s="1" t="s">
        <v>58</v>
      </c>
      <c r="AD49" s="1" t="s">
        <v>479</v>
      </c>
      <c r="AE49" s="1" t="s">
        <v>60</v>
      </c>
      <c r="AF49" s="1" t="s">
        <v>60</v>
      </c>
      <c r="AG49" s="4" t="s">
        <v>62</v>
      </c>
      <c r="AH49" s="1">
        <v>6.0</v>
      </c>
      <c r="AI49" s="1">
        <v>6.0</v>
      </c>
      <c r="AJ49" s="1">
        <v>6.0</v>
      </c>
      <c r="AK49" s="1">
        <f t="shared" si="1"/>
        <v>18</v>
      </c>
      <c r="AL49" s="1">
        <v>1.0</v>
      </c>
      <c r="AM49" s="1">
        <v>80.0</v>
      </c>
      <c r="AN49" s="1">
        <f t="shared" si="2"/>
        <v>80</v>
      </c>
      <c r="AO49" s="1">
        <f t="shared" si="4"/>
        <v>0.9125</v>
      </c>
      <c r="AP49" s="1"/>
    </row>
    <row r="50" ht="12.75" customHeight="1">
      <c r="A50" s="1" t="s">
        <v>483</v>
      </c>
      <c r="B50" s="1" t="s">
        <v>484</v>
      </c>
      <c r="C50" s="4" t="s">
        <v>44</v>
      </c>
      <c r="D50" s="1" t="s">
        <v>99</v>
      </c>
      <c r="E50" s="1" t="s">
        <v>180</v>
      </c>
      <c r="F50" s="1" t="s">
        <v>183</v>
      </c>
      <c r="G50" s="4" t="s">
        <v>485</v>
      </c>
      <c r="H50" s="1" t="s">
        <v>65</v>
      </c>
      <c r="I50" s="1" t="s">
        <v>486</v>
      </c>
      <c r="J50" s="4">
        <v>20.0</v>
      </c>
      <c r="K50" s="4">
        <v>80.0</v>
      </c>
      <c r="L50" s="4">
        <v>1988.0</v>
      </c>
      <c r="M50" s="1"/>
      <c r="N50" s="1"/>
      <c r="O50" s="1">
        <v>2005.0</v>
      </c>
      <c r="P50" s="1" t="s">
        <v>214</v>
      </c>
      <c r="Q50" s="4" t="s">
        <v>51</v>
      </c>
      <c r="R50" s="1" t="s">
        <v>52</v>
      </c>
      <c r="S50" s="1" t="s">
        <v>301</v>
      </c>
      <c r="T50" s="4" t="s">
        <v>487</v>
      </c>
      <c r="U50" s="4">
        <v>-1350.0</v>
      </c>
      <c r="V50" s="1"/>
      <c r="W50" s="1"/>
      <c r="X50" s="4" t="s">
        <v>55</v>
      </c>
      <c r="Y50" s="4" t="s">
        <v>94</v>
      </c>
      <c r="Z50" s="1" t="s">
        <v>123</v>
      </c>
      <c r="AA50" s="4" t="s">
        <v>488</v>
      </c>
      <c r="AB50" s="4" t="s">
        <v>489</v>
      </c>
      <c r="AC50" s="1" t="s">
        <v>58</v>
      </c>
      <c r="AD50" s="1" t="s">
        <v>490</v>
      </c>
      <c r="AE50" s="1" t="s">
        <v>491</v>
      </c>
      <c r="AF50" s="1" t="s">
        <v>60</v>
      </c>
      <c r="AG50" s="4" t="s">
        <v>62</v>
      </c>
      <c r="AH50" s="1">
        <v>6.0</v>
      </c>
      <c r="AI50" s="1">
        <v>6.0</v>
      </c>
      <c r="AJ50" s="1">
        <v>6.0</v>
      </c>
      <c r="AK50" s="1">
        <f t="shared" si="1"/>
        <v>18</v>
      </c>
      <c r="AL50" s="1">
        <v>1.0</v>
      </c>
      <c r="AM50" s="1">
        <v>472.0</v>
      </c>
      <c r="AN50" s="1">
        <f t="shared" si="2"/>
        <v>472</v>
      </c>
      <c r="AO50" s="1">
        <f t="shared" si="4"/>
        <v>0.9021186441</v>
      </c>
      <c r="AP50" s="1"/>
    </row>
    <row r="51" ht="12.75" customHeight="1">
      <c r="A51" s="1" t="s">
        <v>492</v>
      </c>
      <c r="B51" s="1" t="s">
        <v>493</v>
      </c>
      <c r="C51" s="4" t="s">
        <v>44</v>
      </c>
      <c r="D51" s="1" t="s">
        <v>45</v>
      </c>
      <c r="E51" s="4" t="s">
        <v>124</v>
      </c>
      <c r="F51" s="1" t="s">
        <v>126</v>
      </c>
      <c r="G51" s="1"/>
      <c r="H51" s="1" t="s">
        <v>65</v>
      </c>
      <c r="I51" s="1" t="s">
        <v>494</v>
      </c>
      <c r="J51" s="1">
        <v>21.0</v>
      </c>
      <c r="K51" s="1">
        <v>0.0</v>
      </c>
      <c r="L51" s="1">
        <v>2003.0</v>
      </c>
      <c r="M51" s="1"/>
      <c r="N51" s="1"/>
      <c r="O51" s="1">
        <v>2005.0</v>
      </c>
      <c r="P51" s="1" t="s">
        <v>246</v>
      </c>
      <c r="Q51" s="4" t="s">
        <v>51</v>
      </c>
      <c r="R51" s="1" t="s">
        <v>52</v>
      </c>
      <c r="S51" s="1" t="s">
        <v>270</v>
      </c>
      <c r="T51" s="4" t="s">
        <v>495</v>
      </c>
      <c r="U51" s="1">
        <v>2003.0</v>
      </c>
      <c r="V51" s="1"/>
      <c r="W51" s="1"/>
      <c r="X51" s="4" t="s">
        <v>55</v>
      </c>
      <c r="Y51" s="4" t="s">
        <v>99</v>
      </c>
      <c r="Z51" s="1" t="s">
        <v>183</v>
      </c>
      <c r="AA51" s="1" t="s">
        <v>496</v>
      </c>
      <c r="AB51" s="4" t="s">
        <v>497</v>
      </c>
      <c r="AC51" s="1" t="s">
        <v>69</v>
      </c>
      <c r="AD51" s="1" t="s">
        <v>498</v>
      </c>
      <c r="AE51" s="1" t="s">
        <v>60</v>
      </c>
      <c r="AF51" s="4" t="s">
        <v>499</v>
      </c>
      <c r="AG51" s="4" t="s">
        <v>62</v>
      </c>
      <c r="AH51" s="1">
        <v>7.0</v>
      </c>
      <c r="AI51" s="1">
        <v>6.0</v>
      </c>
      <c r="AJ51" s="1">
        <v>6.0</v>
      </c>
      <c r="AK51" s="1">
        <f t="shared" si="1"/>
        <v>19</v>
      </c>
      <c r="AL51" s="1">
        <v>1.0</v>
      </c>
      <c r="AM51" s="1">
        <v>432.0</v>
      </c>
      <c r="AN51" s="1">
        <f t="shared" si="2"/>
        <v>432</v>
      </c>
      <c r="AO51" s="1">
        <f t="shared" si="4"/>
        <v>0.9523148148</v>
      </c>
      <c r="AP51" s="1"/>
    </row>
    <row r="52" ht="12.75" customHeight="1">
      <c r="A52" s="1" t="s">
        <v>97</v>
      </c>
      <c r="B52" s="1" t="s">
        <v>500</v>
      </c>
      <c r="C52" s="4" t="s">
        <v>44</v>
      </c>
      <c r="D52" s="1" t="s">
        <v>99</v>
      </c>
      <c r="E52" s="1" t="s">
        <v>100</v>
      </c>
      <c r="F52" s="1" t="s">
        <v>101</v>
      </c>
      <c r="G52" s="1"/>
      <c r="H52" s="1" t="s">
        <v>48</v>
      </c>
      <c r="I52" s="1" t="s">
        <v>103</v>
      </c>
      <c r="J52" s="1">
        <v>21.0</v>
      </c>
      <c r="K52" s="1">
        <v>0.0</v>
      </c>
      <c r="L52" s="1">
        <v>2005.0</v>
      </c>
      <c r="M52" s="1"/>
      <c r="N52" s="1"/>
      <c r="O52" s="1">
        <v>2005.0</v>
      </c>
      <c r="P52" s="1" t="s">
        <v>105</v>
      </c>
      <c r="Q52" s="4" t="s">
        <v>51</v>
      </c>
      <c r="R52" s="1" t="s">
        <v>52</v>
      </c>
      <c r="S52" s="1" t="s">
        <v>53</v>
      </c>
      <c r="T52" s="4" t="s">
        <v>106</v>
      </c>
      <c r="U52" s="1">
        <v>2005.0</v>
      </c>
      <c r="V52" s="1"/>
      <c r="W52" s="1"/>
      <c r="X52" s="4" t="s">
        <v>55</v>
      </c>
      <c r="Y52" s="4" t="s">
        <v>99</v>
      </c>
      <c r="Z52" s="4" t="s">
        <v>108</v>
      </c>
      <c r="AA52" s="4" t="s">
        <v>108</v>
      </c>
      <c r="AB52" s="1" t="s">
        <v>109</v>
      </c>
      <c r="AC52" s="1" t="s">
        <v>110</v>
      </c>
      <c r="AD52" s="1" t="s">
        <v>111</v>
      </c>
      <c r="AE52" s="1" t="s">
        <v>112</v>
      </c>
      <c r="AF52" s="1" t="s">
        <v>113</v>
      </c>
      <c r="AG52" s="4" t="s">
        <v>62</v>
      </c>
      <c r="AH52" s="1">
        <v>6.0</v>
      </c>
      <c r="AI52" s="1">
        <v>7.0</v>
      </c>
      <c r="AJ52" s="1">
        <v>8.0</v>
      </c>
      <c r="AK52" s="1">
        <f t="shared" si="1"/>
        <v>21</v>
      </c>
      <c r="AL52" s="1">
        <v>1.0</v>
      </c>
      <c r="AM52" s="1">
        <v>512.0</v>
      </c>
      <c r="AN52" s="1">
        <f t="shared" si="2"/>
        <v>512</v>
      </c>
      <c r="AO52" s="1">
        <f t="shared" si="4"/>
        <v>1.051953125</v>
      </c>
      <c r="AP52" s="1"/>
    </row>
    <row r="53" ht="12.75" customHeight="1">
      <c r="A53" s="1" t="s">
        <v>501</v>
      </c>
      <c r="B53" s="1" t="s">
        <v>502</v>
      </c>
      <c r="C53" s="4" t="s">
        <v>44</v>
      </c>
      <c r="D53" s="1" t="s">
        <v>99</v>
      </c>
      <c r="E53" s="1" t="s">
        <v>100</v>
      </c>
      <c r="F53" s="1" t="s">
        <v>101</v>
      </c>
      <c r="G53" s="1"/>
      <c r="H53" s="1" t="s">
        <v>65</v>
      </c>
      <c r="I53" s="1" t="s">
        <v>503</v>
      </c>
      <c r="J53" s="1">
        <v>20.0</v>
      </c>
      <c r="K53" s="1">
        <v>50.0</v>
      </c>
      <c r="L53" s="1">
        <v>1956.0</v>
      </c>
      <c r="M53" s="1"/>
      <c r="N53" s="1"/>
      <c r="O53" s="1">
        <v>2006.0</v>
      </c>
      <c r="P53" s="1" t="s">
        <v>214</v>
      </c>
      <c r="Q53" s="4" t="s">
        <v>51</v>
      </c>
      <c r="R53" s="1" t="s">
        <v>52</v>
      </c>
      <c r="S53" s="1" t="s">
        <v>53</v>
      </c>
      <c r="T53" s="1" t="s">
        <v>60</v>
      </c>
      <c r="U53" s="1">
        <v>1956.0</v>
      </c>
      <c r="V53" s="1"/>
      <c r="W53" s="1"/>
      <c r="X53" s="4" t="s">
        <v>30</v>
      </c>
      <c r="Y53" s="4" t="s">
        <v>30</v>
      </c>
      <c r="Z53" s="1" t="s">
        <v>504</v>
      </c>
      <c r="AA53" s="1" t="s">
        <v>504</v>
      </c>
      <c r="AB53" s="1" t="s">
        <v>30</v>
      </c>
      <c r="AC53" s="1" t="s">
        <v>261</v>
      </c>
      <c r="AD53" s="1" t="s">
        <v>505</v>
      </c>
      <c r="AE53" s="1" t="s">
        <v>112</v>
      </c>
      <c r="AF53" s="1" t="s">
        <v>60</v>
      </c>
      <c r="AG53" s="4" t="s">
        <v>62</v>
      </c>
      <c r="AH53" s="1">
        <v>9.0</v>
      </c>
      <c r="AI53" s="1">
        <v>8.0</v>
      </c>
      <c r="AJ53" s="1">
        <v>8.0</v>
      </c>
      <c r="AK53" s="1">
        <f t="shared" si="1"/>
        <v>25</v>
      </c>
      <c r="AL53" s="1">
        <v>1.0</v>
      </c>
      <c r="AM53" s="1">
        <v>753.0</v>
      </c>
      <c r="AN53" s="1">
        <f t="shared" si="2"/>
        <v>753</v>
      </c>
      <c r="AO53" s="1">
        <f t="shared" si="4"/>
        <v>1.251328021</v>
      </c>
      <c r="AP53" s="1"/>
    </row>
    <row r="54" ht="12.75" customHeight="1">
      <c r="A54" s="1" t="s">
        <v>506</v>
      </c>
      <c r="B54" s="1" t="s">
        <v>507</v>
      </c>
      <c r="C54" s="4" t="s">
        <v>44</v>
      </c>
      <c r="D54" s="1" t="s">
        <v>45</v>
      </c>
      <c r="E54" s="4" t="s">
        <v>124</v>
      </c>
      <c r="F54" s="1" t="s">
        <v>126</v>
      </c>
      <c r="G54" s="1"/>
      <c r="H54" s="1" t="s">
        <v>65</v>
      </c>
      <c r="I54" s="1" t="s">
        <v>66</v>
      </c>
      <c r="J54" s="1">
        <v>20.0</v>
      </c>
      <c r="K54" s="1">
        <v>70.0</v>
      </c>
      <c r="L54" s="1">
        <v>1970.0</v>
      </c>
      <c r="M54" s="1"/>
      <c r="N54" s="1"/>
      <c r="O54" s="1">
        <v>2006.0</v>
      </c>
      <c r="P54" s="1" t="s">
        <v>105</v>
      </c>
      <c r="Q54" s="4" t="s">
        <v>51</v>
      </c>
      <c r="R54" s="1" t="s">
        <v>52</v>
      </c>
      <c r="S54" s="1" t="s">
        <v>301</v>
      </c>
      <c r="T54" s="4" t="s">
        <v>508</v>
      </c>
      <c r="U54" s="1">
        <v>1890.0</v>
      </c>
      <c r="V54" s="1"/>
      <c r="W54" s="1"/>
      <c r="X54" s="4" t="s">
        <v>55</v>
      </c>
      <c r="Y54" s="4" t="s">
        <v>45</v>
      </c>
      <c r="Z54" s="1" t="s">
        <v>126</v>
      </c>
      <c r="AA54" s="1" t="s">
        <v>126</v>
      </c>
      <c r="AB54" s="1" t="s">
        <v>509</v>
      </c>
      <c r="AC54" s="1" t="s">
        <v>58</v>
      </c>
      <c r="AD54" s="1" t="s">
        <v>406</v>
      </c>
      <c r="AE54" s="1" t="s">
        <v>60</v>
      </c>
      <c r="AF54" s="1" t="s">
        <v>60</v>
      </c>
      <c r="AG54" s="4" t="s">
        <v>62</v>
      </c>
      <c r="AH54" s="1">
        <v>7.0</v>
      </c>
      <c r="AI54" s="1">
        <v>7.0</v>
      </c>
      <c r="AJ54" s="1">
        <v>7.0</v>
      </c>
      <c r="AK54" s="1">
        <f t="shared" si="1"/>
        <v>21</v>
      </c>
      <c r="AL54" s="1">
        <v>1.0</v>
      </c>
      <c r="AM54" s="1">
        <v>292.0</v>
      </c>
      <c r="AN54" s="1">
        <f t="shared" si="2"/>
        <v>292</v>
      </c>
      <c r="AO54" s="1">
        <f t="shared" si="4"/>
        <v>1.053424658</v>
      </c>
      <c r="AP54" s="1"/>
    </row>
    <row r="55" ht="12.75" customHeight="1">
      <c r="A55" s="1" t="s">
        <v>510</v>
      </c>
      <c r="B55" s="1" t="s">
        <v>511</v>
      </c>
      <c r="C55" s="4" t="s">
        <v>44</v>
      </c>
      <c r="D55" s="1" t="s">
        <v>99</v>
      </c>
      <c r="E55" s="1" t="s">
        <v>100</v>
      </c>
      <c r="F55" s="1" t="s">
        <v>101</v>
      </c>
      <c r="G55" s="1"/>
      <c r="H55" s="1" t="s">
        <v>65</v>
      </c>
      <c r="I55" s="1" t="s">
        <v>428</v>
      </c>
      <c r="J55" s="1">
        <v>21.0</v>
      </c>
      <c r="K55" s="1">
        <v>0.0</v>
      </c>
      <c r="L55" s="1">
        <v>2000.0</v>
      </c>
      <c r="M55" s="1"/>
      <c r="N55" s="1"/>
      <c r="O55" s="1">
        <v>2006.0</v>
      </c>
      <c r="P55" s="1" t="s">
        <v>214</v>
      </c>
      <c r="Q55" s="4" t="s">
        <v>51</v>
      </c>
      <c r="R55" s="1" t="s">
        <v>52</v>
      </c>
      <c r="S55" s="1" t="s">
        <v>301</v>
      </c>
      <c r="T55" s="4" t="s">
        <v>512</v>
      </c>
      <c r="U55" s="4">
        <v>1337.0</v>
      </c>
      <c r="V55" s="4">
        <v>5.0</v>
      </c>
      <c r="W55" s="4">
        <v>27.0</v>
      </c>
      <c r="X55" s="4" t="s">
        <v>55</v>
      </c>
      <c r="Y55" s="4" t="s">
        <v>99</v>
      </c>
      <c r="Z55" s="4" t="s">
        <v>101</v>
      </c>
      <c r="AA55" s="1" t="s">
        <v>513</v>
      </c>
      <c r="AB55" s="4" t="s">
        <v>514</v>
      </c>
      <c r="AC55" s="1" t="s">
        <v>92</v>
      </c>
      <c r="AD55" s="1" t="s">
        <v>1</v>
      </c>
      <c r="AE55" s="1" t="s">
        <v>60</v>
      </c>
      <c r="AF55" s="1" t="s">
        <v>515</v>
      </c>
      <c r="AG55" s="4" t="s">
        <v>62</v>
      </c>
      <c r="AH55" s="1">
        <v>8.0</v>
      </c>
      <c r="AI55" s="1">
        <v>8.0</v>
      </c>
      <c r="AJ55" s="1">
        <v>8.0</v>
      </c>
      <c r="AK55" s="1">
        <f t="shared" si="1"/>
        <v>24</v>
      </c>
      <c r="AL55" s="1">
        <v>1.0</v>
      </c>
      <c r="AM55" s="1">
        <v>444.0</v>
      </c>
      <c r="AN55" s="1">
        <f t="shared" si="2"/>
        <v>444</v>
      </c>
      <c r="AO55" s="1">
        <f t="shared" si="4"/>
        <v>1.202252252</v>
      </c>
      <c r="AP55" s="1"/>
    </row>
    <row r="56" ht="12.75" customHeight="1">
      <c r="A56" s="1" t="s">
        <v>516</v>
      </c>
      <c r="B56" s="1" t="s">
        <v>517</v>
      </c>
      <c r="C56" s="4" t="s">
        <v>44</v>
      </c>
      <c r="D56" s="1" t="s">
        <v>148</v>
      </c>
      <c r="E56" s="1" t="s">
        <v>153</v>
      </c>
      <c r="F56" s="1" t="s">
        <v>158</v>
      </c>
      <c r="G56" s="4" t="s">
        <v>518</v>
      </c>
      <c r="H56" s="1" t="s">
        <v>65</v>
      </c>
      <c r="I56" s="1" t="s">
        <v>519</v>
      </c>
      <c r="J56" s="1">
        <v>20.0</v>
      </c>
      <c r="K56" s="1">
        <v>30.0</v>
      </c>
      <c r="L56" s="1">
        <v>1935.0</v>
      </c>
      <c r="M56" s="1"/>
      <c r="N56" s="1"/>
      <c r="O56" s="1">
        <v>2007.0</v>
      </c>
      <c r="P56" s="1" t="s">
        <v>214</v>
      </c>
      <c r="Q56" s="4" t="s">
        <v>51</v>
      </c>
      <c r="R56" s="1" t="s">
        <v>52</v>
      </c>
      <c r="S56" s="1" t="s">
        <v>301</v>
      </c>
      <c r="T56" s="4" t="s">
        <v>520</v>
      </c>
      <c r="U56" s="4">
        <v>1600.0</v>
      </c>
      <c r="V56" s="1"/>
      <c r="W56" s="1"/>
      <c r="X56" s="4" t="s">
        <v>55</v>
      </c>
      <c r="Y56" s="4" t="s">
        <v>148</v>
      </c>
      <c r="Z56" s="1" t="s">
        <v>158</v>
      </c>
      <c r="AA56" s="1" t="s">
        <v>521</v>
      </c>
      <c r="AB56" s="1" t="s">
        <v>521</v>
      </c>
      <c r="AC56" s="4" t="s">
        <v>522</v>
      </c>
      <c r="AD56" s="1" t="s">
        <v>523</v>
      </c>
      <c r="AE56" s="1" t="s">
        <v>60</v>
      </c>
      <c r="AF56" s="1" t="s">
        <v>60</v>
      </c>
      <c r="AG56" s="4" t="s">
        <v>62</v>
      </c>
      <c r="AH56" s="1">
        <v>8.0</v>
      </c>
      <c r="AI56" s="1">
        <v>8.0</v>
      </c>
      <c r="AJ56" s="1">
        <v>8.0</v>
      </c>
      <c r="AK56" s="1">
        <f t="shared" si="1"/>
        <v>24</v>
      </c>
      <c r="AL56" s="1">
        <v>1.0</v>
      </c>
      <c r="AM56" s="1">
        <v>887.0</v>
      </c>
      <c r="AN56" s="1">
        <f t="shared" si="2"/>
        <v>887</v>
      </c>
      <c r="AO56" s="1">
        <f t="shared" si="4"/>
        <v>1.201127396</v>
      </c>
      <c r="AP56" s="1"/>
    </row>
    <row r="57" ht="12.75" customHeight="1">
      <c r="A57" s="1" t="s">
        <v>524</v>
      </c>
      <c r="B57" s="1" t="s">
        <v>525</v>
      </c>
      <c r="C57" s="4" t="s">
        <v>44</v>
      </c>
      <c r="D57" s="1" t="s">
        <v>45</v>
      </c>
      <c r="E57" s="4" t="s">
        <v>124</v>
      </c>
      <c r="F57" s="1" t="s">
        <v>126</v>
      </c>
      <c r="G57" s="1"/>
      <c r="H57" s="1" t="s">
        <v>65</v>
      </c>
      <c r="I57" s="1" t="s">
        <v>382</v>
      </c>
      <c r="J57" s="1">
        <v>20.0</v>
      </c>
      <c r="K57" s="1">
        <v>70.0</v>
      </c>
      <c r="L57" s="1">
        <v>1971.0</v>
      </c>
      <c r="M57" s="1"/>
      <c r="N57" s="1"/>
      <c r="O57" s="1">
        <v>2007.0</v>
      </c>
      <c r="P57" s="1" t="s">
        <v>246</v>
      </c>
      <c r="Q57" s="4" t="s">
        <v>51</v>
      </c>
      <c r="R57" s="1" t="s">
        <v>52</v>
      </c>
      <c r="S57" s="1" t="s">
        <v>247</v>
      </c>
      <c r="T57" s="4" t="s">
        <v>526</v>
      </c>
      <c r="U57" s="1">
        <v>1971.0</v>
      </c>
      <c r="V57" s="1"/>
      <c r="W57" s="1"/>
      <c r="X57" s="4" t="s">
        <v>55</v>
      </c>
      <c r="Y57" s="4" t="s">
        <v>45</v>
      </c>
      <c r="Z57" s="1" t="s">
        <v>126</v>
      </c>
      <c r="AA57" s="4" t="s">
        <v>527</v>
      </c>
      <c r="AB57" s="1" t="s">
        <v>528</v>
      </c>
      <c r="AC57" s="1" t="s">
        <v>422</v>
      </c>
      <c r="AD57" s="1" t="s">
        <v>529</v>
      </c>
      <c r="AE57" s="1" t="s">
        <v>386</v>
      </c>
      <c r="AF57" s="1" t="s">
        <v>60</v>
      </c>
      <c r="AG57" s="4" t="s">
        <v>62</v>
      </c>
      <c r="AH57" s="1">
        <v>8.0</v>
      </c>
      <c r="AI57" s="1">
        <v>7.0</v>
      </c>
      <c r="AJ57" s="1">
        <v>7.0</v>
      </c>
      <c r="AK57" s="1">
        <f t="shared" si="1"/>
        <v>22</v>
      </c>
      <c r="AL57" s="1">
        <v>1.0</v>
      </c>
      <c r="AM57" s="1">
        <v>321.0</v>
      </c>
      <c r="AN57" s="1">
        <f t="shared" si="2"/>
        <v>321</v>
      </c>
      <c r="AO57" s="1">
        <f t="shared" si="4"/>
        <v>1.103115265</v>
      </c>
      <c r="AP57" s="1"/>
    </row>
    <row r="58" ht="12.75" customHeight="1">
      <c r="A58" s="1" t="s">
        <v>492</v>
      </c>
      <c r="B58" s="1" t="s">
        <v>530</v>
      </c>
      <c r="C58" s="4" t="s">
        <v>44</v>
      </c>
      <c r="D58" s="1" t="s">
        <v>45</v>
      </c>
      <c r="E58" s="4" t="s">
        <v>124</v>
      </c>
      <c r="F58" s="1" t="s">
        <v>126</v>
      </c>
      <c r="G58" s="1"/>
      <c r="H58" s="1" t="s">
        <v>65</v>
      </c>
      <c r="I58" s="1" t="s">
        <v>494</v>
      </c>
      <c r="J58" s="1">
        <v>20.0</v>
      </c>
      <c r="K58" s="1">
        <v>90.0</v>
      </c>
      <c r="L58" s="1">
        <v>1998.0</v>
      </c>
      <c r="M58" s="1"/>
      <c r="N58" s="1"/>
      <c r="O58" s="1">
        <v>2007.0</v>
      </c>
      <c r="P58" s="1" t="s">
        <v>246</v>
      </c>
      <c r="Q58" s="4" t="s">
        <v>51</v>
      </c>
      <c r="R58" s="1" t="s">
        <v>52</v>
      </c>
      <c r="S58" s="1" t="s">
        <v>270</v>
      </c>
      <c r="T58" s="4" t="s">
        <v>106</v>
      </c>
      <c r="U58" s="1">
        <v>1998.0</v>
      </c>
      <c r="V58" s="1"/>
      <c r="W58" s="1"/>
      <c r="X58" s="4" t="s">
        <v>55</v>
      </c>
      <c r="Y58" s="4" t="s">
        <v>45</v>
      </c>
      <c r="Z58" s="1" t="s">
        <v>126</v>
      </c>
      <c r="AA58" s="1" t="s">
        <v>527</v>
      </c>
      <c r="AB58" s="1" t="s">
        <v>527</v>
      </c>
      <c r="AC58" s="1" t="s">
        <v>92</v>
      </c>
      <c r="AD58" s="1" t="s">
        <v>531</v>
      </c>
      <c r="AE58" s="1" t="s">
        <v>60</v>
      </c>
      <c r="AF58" s="1" t="s">
        <v>60</v>
      </c>
      <c r="AG58" s="4" t="s">
        <v>62</v>
      </c>
      <c r="AH58" s="1">
        <v>5.0</v>
      </c>
      <c r="AI58" s="1">
        <v>5.0</v>
      </c>
      <c r="AJ58" s="1">
        <v>5.0</v>
      </c>
      <c r="AK58" s="1">
        <f t="shared" si="1"/>
        <v>15</v>
      </c>
      <c r="AL58" s="1">
        <v>1.0</v>
      </c>
      <c r="AM58" s="1">
        <v>336.0</v>
      </c>
      <c r="AN58" s="1">
        <f t="shared" si="2"/>
        <v>336</v>
      </c>
      <c r="AO58" s="1">
        <f t="shared" si="4"/>
        <v>0.7529761905</v>
      </c>
      <c r="AP58" s="1"/>
    </row>
    <row r="59" ht="12.75" customHeight="1">
      <c r="A59" s="1" t="s">
        <v>492</v>
      </c>
      <c r="B59" s="1" t="s">
        <v>532</v>
      </c>
      <c r="C59" s="4" t="s">
        <v>44</v>
      </c>
      <c r="D59" s="1" t="s">
        <v>45</v>
      </c>
      <c r="E59" s="4" t="s">
        <v>124</v>
      </c>
      <c r="F59" s="1" t="s">
        <v>126</v>
      </c>
      <c r="G59" s="4" t="s">
        <v>533</v>
      </c>
      <c r="H59" s="1" t="s">
        <v>65</v>
      </c>
      <c r="I59" s="1" t="s">
        <v>494</v>
      </c>
      <c r="J59" s="1">
        <v>21.0</v>
      </c>
      <c r="K59" s="1">
        <v>0.0</v>
      </c>
      <c r="L59" s="1">
        <v>2000.0</v>
      </c>
      <c r="M59" s="1"/>
      <c r="N59" s="1"/>
      <c r="O59" s="1">
        <v>2007.0</v>
      </c>
      <c r="P59" s="1" t="s">
        <v>246</v>
      </c>
      <c r="Q59" s="4" t="s">
        <v>51</v>
      </c>
      <c r="R59" s="1" t="s">
        <v>52</v>
      </c>
      <c r="S59" s="1" t="s">
        <v>270</v>
      </c>
      <c r="T59" s="4" t="s">
        <v>106</v>
      </c>
      <c r="U59" s="1">
        <v>2000.0</v>
      </c>
      <c r="V59" s="1"/>
      <c r="W59" s="1"/>
      <c r="X59" s="4" t="s">
        <v>55</v>
      </c>
      <c r="Y59" s="4" t="s">
        <v>99</v>
      </c>
      <c r="Z59" s="1" t="s">
        <v>178</v>
      </c>
      <c r="AA59" s="1" t="s">
        <v>534</v>
      </c>
      <c r="AB59" s="1" t="s">
        <v>534</v>
      </c>
      <c r="AC59" s="1" t="s">
        <v>69</v>
      </c>
      <c r="AD59" s="1" t="s">
        <v>498</v>
      </c>
      <c r="AE59" s="1" t="s">
        <v>60</v>
      </c>
      <c r="AF59" s="4" t="s">
        <v>499</v>
      </c>
      <c r="AG59" s="4" t="s">
        <v>62</v>
      </c>
      <c r="AH59" s="1">
        <v>6.0</v>
      </c>
      <c r="AI59" s="1">
        <v>6.0</v>
      </c>
      <c r="AJ59" s="1">
        <v>6.0</v>
      </c>
      <c r="AK59" s="1">
        <f t="shared" si="1"/>
        <v>18</v>
      </c>
      <c r="AL59" s="1">
        <v>1.0</v>
      </c>
      <c r="AM59" s="1">
        <v>464.0</v>
      </c>
      <c r="AN59" s="1">
        <f t="shared" si="2"/>
        <v>464</v>
      </c>
      <c r="AO59" s="1">
        <f t="shared" si="4"/>
        <v>0.9021551724</v>
      </c>
      <c r="AP59" s="1"/>
    </row>
    <row r="60" ht="12.75" customHeight="1">
      <c r="A60" s="1" t="s">
        <v>492</v>
      </c>
      <c r="B60" s="1" t="s">
        <v>535</v>
      </c>
      <c r="C60" s="4" t="s">
        <v>44</v>
      </c>
      <c r="D60" s="1" t="s">
        <v>45</v>
      </c>
      <c r="E60" s="4" t="s">
        <v>124</v>
      </c>
      <c r="F60" s="1" t="s">
        <v>126</v>
      </c>
      <c r="G60" s="1"/>
      <c r="H60" s="1" t="s">
        <v>65</v>
      </c>
      <c r="I60" s="1" t="s">
        <v>494</v>
      </c>
      <c r="J60" s="1">
        <v>21.0</v>
      </c>
      <c r="K60" s="1">
        <v>0.0</v>
      </c>
      <c r="L60" s="1">
        <v>2001.0</v>
      </c>
      <c r="M60" s="1"/>
      <c r="N60" s="1"/>
      <c r="O60" s="1">
        <v>2007.0</v>
      </c>
      <c r="P60" s="1" t="s">
        <v>246</v>
      </c>
      <c r="Q60" s="4" t="s">
        <v>51</v>
      </c>
      <c r="R60" s="1" t="s">
        <v>52</v>
      </c>
      <c r="S60" s="1" t="s">
        <v>270</v>
      </c>
      <c r="T60" s="4" t="s">
        <v>106</v>
      </c>
      <c r="U60" s="1">
        <v>2001.0</v>
      </c>
      <c r="V60" s="1"/>
      <c r="W60" s="1"/>
      <c r="X60" s="4" t="s">
        <v>55</v>
      </c>
      <c r="Y60" s="4" t="s">
        <v>45</v>
      </c>
      <c r="Z60" s="1" t="s">
        <v>126</v>
      </c>
      <c r="AA60" s="1" t="s">
        <v>527</v>
      </c>
      <c r="AB60" s="1" t="s">
        <v>527</v>
      </c>
      <c r="AC60" s="1" t="s">
        <v>92</v>
      </c>
      <c r="AD60" s="1" t="s">
        <v>531</v>
      </c>
      <c r="AE60" s="1" t="s">
        <v>60</v>
      </c>
      <c r="AF60" s="1" t="s">
        <v>60</v>
      </c>
      <c r="AG60" s="4" t="s">
        <v>62</v>
      </c>
      <c r="AH60" s="1">
        <v>5.0</v>
      </c>
      <c r="AI60" s="1">
        <v>5.0</v>
      </c>
      <c r="AJ60" s="1">
        <v>5.0</v>
      </c>
      <c r="AK60" s="1">
        <f t="shared" si="1"/>
        <v>15</v>
      </c>
      <c r="AL60" s="1">
        <v>1.0</v>
      </c>
      <c r="AM60" s="1">
        <v>448.0</v>
      </c>
      <c r="AN60" s="1">
        <f t="shared" si="2"/>
        <v>448</v>
      </c>
      <c r="AO60" s="1">
        <f t="shared" si="4"/>
        <v>0.7522321429</v>
      </c>
      <c r="AP60" s="1"/>
    </row>
    <row r="61" ht="12.75" customHeight="1">
      <c r="A61" s="1" t="s">
        <v>97</v>
      </c>
      <c r="B61" s="1" t="s">
        <v>536</v>
      </c>
      <c r="C61" s="4" t="s">
        <v>44</v>
      </c>
      <c r="D61" s="1" t="s">
        <v>99</v>
      </c>
      <c r="E61" s="1" t="s">
        <v>100</v>
      </c>
      <c r="F61" s="1" t="s">
        <v>101</v>
      </c>
      <c r="G61" s="1"/>
      <c r="H61" s="1" t="s">
        <v>48</v>
      </c>
      <c r="I61" s="1" t="s">
        <v>103</v>
      </c>
      <c r="J61" s="1">
        <v>21.0</v>
      </c>
      <c r="K61" s="1">
        <v>0.0</v>
      </c>
      <c r="L61" s="1">
        <v>2007.0</v>
      </c>
      <c r="M61" s="1"/>
      <c r="N61" s="1"/>
      <c r="O61" s="1">
        <v>2007.0</v>
      </c>
      <c r="P61" s="1" t="s">
        <v>105</v>
      </c>
      <c r="Q61" s="4" t="s">
        <v>51</v>
      </c>
      <c r="R61" s="1" t="s">
        <v>52</v>
      </c>
      <c r="S61" s="1" t="s">
        <v>53</v>
      </c>
      <c r="T61" s="4" t="s">
        <v>106</v>
      </c>
      <c r="U61" s="1">
        <v>2007.0</v>
      </c>
      <c r="V61" s="1"/>
      <c r="W61" s="1"/>
      <c r="X61" s="4" t="s">
        <v>55</v>
      </c>
      <c r="Y61" s="4" t="s">
        <v>99</v>
      </c>
      <c r="Z61" s="4" t="s">
        <v>108</v>
      </c>
      <c r="AA61" s="4" t="s">
        <v>108</v>
      </c>
      <c r="AB61" s="1" t="s">
        <v>109</v>
      </c>
      <c r="AC61" s="1" t="s">
        <v>110</v>
      </c>
      <c r="AD61" s="1" t="s">
        <v>111</v>
      </c>
      <c r="AE61" s="1" t="s">
        <v>60</v>
      </c>
      <c r="AF61" s="1" t="s">
        <v>113</v>
      </c>
      <c r="AG61" s="4" t="s">
        <v>62</v>
      </c>
      <c r="AH61" s="1">
        <v>7.0</v>
      </c>
      <c r="AI61" s="1">
        <v>7.0</v>
      </c>
      <c r="AJ61" s="1">
        <v>5.0</v>
      </c>
      <c r="AK61" s="1">
        <f t="shared" si="1"/>
        <v>19</v>
      </c>
      <c r="AL61" s="1">
        <v>1.0</v>
      </c>
      <c r="AM61" s="1">
        <v>592.0</v>
      </c>
      <c r="AN61" s="1">
        <f t="shared" si="2"/>
        <v>592</v>
      </c>
      <c r="AO61" s="1">
        <f t="shared" si="4"/>
        <v>0.9516891892</v>
      </c>
      <c r="AP61" s="1"/>
    </row>
    <row r="62" ht="12.75" customHeight="1">
      <c r="A62" s="1" t="s">
        <v>537</v>
      </c>
      <c r="B62" s="1" t="s">
        <v>538</v>
      </c>
      <c r="C62" s="4" t="s">
        <v>44</v>
      </c>
      <c r="D62" s="1" t="s">
        <v>45</v>
      </c>
      <c r="E62" s="4" t="s">
        <v>124</v>
      </c>
      <c r="F62" s="1" t="s">
        <v>126</v>
      </c>
      <c r="G62" s="4" t="s">
        <v>539</v>
      </c>
      <c r="H62" s="1" t="s">
        <v>65</v>
      </c>
      <c r="I62" s="1" t="s">
        <v>421</v>
      </c>
      <c r="J62" s="1">
        <v>21.0</v>
      </c>
      <c r="K62" s="1">
        <v>0.0</v>
      </c>
      <c r="L62" s="1">
        <v>2007.0</v>
      </c>
      <c r="M62" s="1"/>
      <c r="N62" s="1"/>
      <c r="O62" s="1">
        <v>2007.0</v>
      </c>
      <c r="P62" s="1" t="s">
        <v>222</v>
      </c>
      <c r="Q62" s="4" t="s">
        <v>51</v>
      </c>
      <c r="R62" s="1" t="s">
        <v>136</v>
      </c>
      <c r="S62" s="1" t="s">
        <v>136</v>
      </c>
      <c r="T62" s="4" t="s">
        <v>540</v>
      </c>
      <c r="U62" s="4">
        <v>1911.0</v>
      </c>
      <c r="V62" s="1"/>
      <c r="W62" s="1"/>
      <c r="X62" s="4" t="s">
        <v>55</v>
      </c>
      <c r="Y62" s="4" t="s">
        <v>99</v>
      </c>
      <c r="Z62" s="4" t="s">
        <v>195</v>
      </c>
      <c r="AA62" s="4" t="s">
        <v>541</v>
      </c>
      <c r="AB62" s="4" t="s">
        <v>541</v>
      </c>
      <c r="AC62" s="1" t="s">
        <v>542</v>
      </c>
      <c r="AD62" s="1" t="s">
        <v>543</v>
      </c>
      <c r="AE62" s="1" t="s">
        <v>60</v>
      </c>
      <c r="AF62" s="1" t="s">
        <v>60</v>
      </c>
      <c r="AG62" s="4" t="s">
        <v>62</v>
      </c>
      <c r="AH62" s="1">
        <v>5.0</v>
      </c>
      <c r="AI62" s="1">
        <v>5.0</v>
      </c>
      <c r="AJ62" s="1">
        <v>5.0</v>
      </c>
      <c r="AK62" s="1">
        <f t="shared" si="1"/>
        <v>15</v>
      </c>
      <c r="AL62" s="1">
        <v>1.0</v>
      </c>
      <c r="AM62" s="1">
        <v>696.0</v>
      </c>
      <c r="AN62" s="1">
        <f t="shared" si="2"/>
        <v>696</v>
      </c>
      <c r="AO62" s="1">
        <f t="shared" si="4"/>
        <v>0.7514367816</v>
      </c>
      <c r="AP62" s="1"/>
    </row>
    <row r="63" ht="12.75" customHeight="1">
      <c r="A63" s="1" t="s">
        <v>544</v>
      </c>
      <c r="B63" s="1" t="s">
        <v>545</v>
      </c>
      <c r="C63" s="4" t="s">
        <v>44</v>
      </c>
      <c r="D63" s="1" t="s">
        <v>99</v>
      </c>
      <c r="E63" s="1" t="s">
        <v>187</v>
      </c>
      <c r="F63" s="1" t="s">
        <v>197</v>
      </c>
      <c r="G63" s="4" t="s">
        <v>546</v>
      </c>
      <c r="H63" s="1" t="s">
        <v>65</v>
      </c>
      <c r="I63" s="1" t="s">
        <v>547</v>
      </c>
      <c r="J63" s="1">
        <v>19.0</v>
      </c>
      <c r="K63" s="1">
        <v>60.0</v>
      </c>
      <c r="L63" s="1">
        <v>1866.0</v>
      </c>
      <c r="M63" s="1"/>
      <c r="N63" s="1"/>
      <c r="O63" s="1">
        <v>2008.0</v>
      </c>
      <c r="P63" s="1" t="s">
        <v>214</v>
      </c>
      <c r="Q63" s="4" t="s">
        <v>51</v>
      </c>
      <c r="R63" s="1" t="s">
        <v>52</v>
      </c>
      <c r="S63" s="1" t="s">
        <v>272</v>
      </c>
      <c r="T63" s="4" t="s">
        <v>548</v>
      </c>
      <c r="U63" s="1">
        <v>1866.0</v>
      </c>
      <c r="V63" s="1"/>
      <c r="W63" s="1"/>
      <c r="X63" s="4" t="s">
        <v>55</v>
      </c>
      <c r="Y63" s="4" t="s">
        <v>99</v>
      </c>
      <c r="Z63" s="1" t="s">
        <v>197</v>
      </c>
      <c r="AA63" s="1" t="s">
        <v>549</v>
      </c>
      <c r="AB63" s="1" t="s">
        <v>549</v>
      </c>
      <c r="AC63" s="1" t="s">
        <v>69</v>
      </c>
      <c r="AD63" s="1" t="s">
        <v>550</v>
      </c>
      <c r="AE63" s="1" t="s">
        <v>60</v>
      </c>
      <c r="AF63" s="1" t="s">
        <v>60</v>
      </c>
      <c r="AG63" s="4" t="s">
        <v>62</v>
      </c>
      <c r="AH63" s="1">
        <v>9.0</v>
      </c>
      <c r="AI63" s="1">
        <v>9.0</v>
      </c>
      <c r="AJ63" s="1">
        <v>9.0</v>
      </c>
      <c r="AK63" s="1">
        <f t="shared" si="1"/>
        <v>27</v>
      </c>
      <c r="AL63" s="1">
        <v>1.0</v>
      </c>
      <c r="AM63" s="1">
        <v>368.0</v>
      </c>
      <c r="AN63" s="1">
        <f t="shared" si="2"/>
        <v>368</v>
      </c>
      <c r="AO63" s="1">
        <f t="shared" si="4"/>
        <v>1.352717391</v>
      </c>
      <c r="AP63" s="1"/>
    </row>
    <row r="64" ht="12.75" customHeight="1">
      <c r="A64" s="1" t="s">
        <v>544</v>
      </c>
      <c r="B64" s="1" t="s">
        <v>551</v>
      </c>
      <c r="C64" s="4" t="s">
        <v>44</v>
      </c>
      <c r="D64" s="1" t="s">
        <v>99</v>
      </c>
      <c r="E64" s="1" t="s">
        <v>187</v>
      </c>
      <c r="F64" s="1" t="s">
        <v>197</v>
      </c>
      <c r="G64" s="4" t="s">
        <v>546</v>
      </c>
      <c r="H64" s="1" t="s">
        <v>65</v>
      </c>
      <c r="I64" s="1" t="s">
        <v>547</v>
      </c>
      <c r="J64" s="1">
        <v>19.0</v>
      </c>
      <c r="K64" s="1">
        <v>60.0</v>
      </c>
      <c r="L64" s="1">
        <v>1866.0</v>
      </c>
      <c r="M64" s="1"/>
      <c r="N64" s="1"/>
      <c r="O64" s="1">
        <v>2008.0</v>
      </c>
      <c r="P64" s="1" t="s">
        <v>214</v>
      </c>
      <c r="Q64" s="4" t="s">
        <v>51</v>
      </c>
      <c r="R64" s="1" t="s">
        <v>52</v>
      </c>
      <c r="S64" s="1" t="s">
        <v>272</v>
      </c>
      <c r="T64" s="4" t="s">
        <v>548</v>
      </c>
      <c r="U64" s="1">
        <v>1866.0</v>
      </c>
      <c r="V64" s="1"/>
      <c r="W64" s="1"/>
      <c r="X64" s="4" t="s">
        <v>55</v>
      </c>
      <c r="Y64" s="4" t="s">
        <v>99</v>
      </c>
      <c r="Z64" s="1" t="s">
        <v>197</v>
      </c>
      <c r="AA64" s="1" t="s">
        <v>549</v>
      </c>
      <c r="AB64" s="1" t="s">
        <v>549</v>
      </c>
      <c r="AC64" s="1" t="s">
        <v>69</v>
      </c>
      <c r="AD64" s="1" t="s">
        <v>550</v>
      </c>
      <c r="AE64" s="1" t="s">
        <v>60</v>
      </c>
      <c r="AF64" s="1" t="s">
        <v>60</v>
      </c>
      <c r="AG64" s="4" t="s">
        <v>62</v>
      </c>
      <c r="AH64" s="1">
        <v>9.0</v>
      </c>
      <c r="AI64" s="1">
        <v>9.0</v>
      </c>
      <c r="AJ64" s="1">
        <v>9.0</v>
      </c>
      <c r="AK64" s="1">
        <f t="shared" si="1"/>
        <v>27</v>
      </c>
      <c r="AL64" s="1">
        <v>1.0</v>
      </c>
      <c r="AM64" s="1">
        <v>388.0</v>
      </c>
      <c r="AN64" s="1">
        <f t="shared" si="2"/>
        <v>388</v>
      </c>
      <c r="AO64" s="1">
        <f t="shared" si="4"/>
        <v>1.35257732</v>
      </c>
      <c r="AP64" s="1"/>
    </row>
    <row r="65" ht="12.75" customHeight="1">
      <c r="A65" s="1" t="s">
        <v>552</v>
      </c>
      <c r="B65" s="1" t="s">
        <v>553</v>
      </c>
      <c r="C65" s="4" t="s">
        <v>44</v>
      </c>
      <c r="D65" s="1" t="s">
        <v>99</v>
      </c>
      <c r="E65" s="1" t="s">
        <v>180</v>
      </c>
      <c r="F65" s="1" t="s">
        <v>183</v>
      </c>
      <c r="G65" s="1"/>
      <c r="H65" s="1" t="s">
        <v>65</v>
      </c>
      <c r="I65" s="1" t="s">
        <v>382</v>
      </c>
      <c r="J65" s="1">
        <v>20.0</v>
      </c>
      <c r="K65" s="1">
        <v>30.0</v>
      </c>
      <c r="L65" s="1">
        <v>1939.0</v>
      </c>
      <c r="M65" s="1"/>
      <c r="N65" s="1"/>
      <c r="O65" s="1">
        <v>2008.0</v>
      </c>
      <c r="P65" s="1" t="s">
        <v>554</v>
      </c>
      <c r="Q65" s="4" t="s">
        <v>51</v>
      </c>
      <c r="R65" s="1" t="s">
        <v>266</v>
      </c>
      <c r="S65" s="1" t="s">
        <v>269</v>
      </c>
      <c r="T65" s="4" t="s">
        <v>555</v>
      </c>
      <c r="U65" s="1">
        <v>1939.0</v>
      </c>
      <c r="V65" s="1"/>
      <c r="W65" s="1"/>
      <c r="X65" s="4" t="s">
        <v>55</v>
      </c>
      <c r="Y65" s="4" t="s">
        <v>99</v>
      </c>
      <c r="Z65" s="1" t="s">
        <v>183</v>
      </c>
      <c r="AA65" s="1" t="s">
        <v>496</v>
      </c>
      <c r="AB65" s="1" t="s">
        <v>496</v>
      </c>
      <c r="AC65" s="1" t="s">
        <v>69</v>
      </c>
      <c r="AD65" s="1" t="s">
        <v>556</v>
      </c>
      <c r="AE65" s="1" t="s">
        <v>60</v>
      </c>
      <c r="AF65" s="1" t="s">
        <v>60</v>
      </c>
      <c r="AG65" s="4" t="s">
        <v>62</v>
      </c>
      <c r="AH65" s="1">
        <v>6.0</v>
      </c>
      <c r="AI65" s="1">
        <v>6.0</v>
      </c>
      <c r="AJ65" s="1">
        <v>6.0</v>
      </c>
      <c r="AK65" s="1">
        <f t="shared" si="1"/>
        <v>18</v>
      </c>
      <c r="AL65" s="1">
        <v>1.0</v>
      </c>
      <c r="AM65" s="1">
        <v>226.0</v>
      </c>
      <c r="AN65" s="1">
        <f t="shared" si="2"/>
        <v>226</v>
      </c>
      <c r="AO65" s="1">
        <f t="shared" si="4"/>
        <v>0.9044247788</v>
      </c>
      <c r="AP65" s="1"/>
    </row>
    <row r="66" ht="12.75" customHeight="1">
      <c r="A66" s="1" t="s">
        <v>557</v>
      </c>
      <c r="B66" s="1" t="s">
        <v>558</v>
      </c>
      <c r="C66" s="4" t="s">
        <v>44</v>
      </c>
      <c r="D66" s="1" t="s">
        <v>45</v>
      </c>
      <c r="E66" s="1" t="s">
        <v>46</v>
      </c>
      <c r="F66" s="1" t="s">
        <v>47</v>
      </c>
      <c r="G66" s="1" t="s">
        <v>558</v>
      </c>
      <c r="H66" s="1" t="s">
        <v>65</v>
      </c>
      <c r="I66" s="1" t="s">
        <v>428</v>
      </c>
      <c r="J66" s="1">
        <v>20.0</v>
      </c>
      <c r="K66" s="1">
        <v>70.0</v>
      </c>
      <c r="L66" s="1">
        <v>1979.0</v>
      </c>
      <c r="M66" s="1"/>
      <c r="N66" s="1"/>
      <c r="O66" s="1">
        <v>2008.0</v>
      </c>
      <c r="P66" s="1" t="s">
        <v>214</v>
      </c>
      <c r="Q66" s="4" t="s">
        <v>51</v>
      </c>
      <c r="R66" s="1" t="s">
        <v>52</v>
      </c>
      <c r="S66" s="1" t="s">
        <v>270</v>
      </c>
      <c r="T66" s="4" t="s">
        <v>75</v>
      </c>
      <c r="U66" s="1">
        <v>1979.0</v>
      </c>
      <c r="V66" s="1"/>
      <c r="W66" s="1"/>
      <c r="X66" s="4" t="s">
        <v>55</v>
      </c>
      <c r="Y66" s="4" t="s">
        <v>45</v>
      </c>
      <c r="Z66" s="1" t="s">
        <v>47</v>
      </c>
      <c r="AA66" s="1" t="s">
        <v>559</v>
      </c>
      <c r="AB66" s="4" t="s">
        <v>560</v>
      </c>
      <c r="AC66" s="4" t="s">
        <v>561</v>
      </c>
      <c r="AD66" s="1" t="s">
        <v>562</v>
      </c>
      <c r="AE66" s="1" t="s">
        <v>60</v>
      </c>
      <c r="AF66" s="1" t="s">
        <v>60</v>
      </c>
      <c r="AG66" s="4" t="s">
        <v>62</v>
      </c>
      <c r="AH66" s="1">
        <v>6.0</v>
      </c>
      <c r="AI66" s="1">
        <v>6.0</v>
      </c>
      <c r="AJ66" s="1">
        <v>6.0</v>
      </c>
      <c r="AK66" s="1">
        <f t="shared" si="1"/>
        <v>18</v>
      </c>
      <c r="AL66" s="1">
        <v>1.0</v>
      </c>
      <c r="AM66" s="1">
        <v>216.0</v>
      </c>
      <c r="AN66" s="1">
        <f t="shared" si="2"/>
        <v>216</v>
      </c>
      <c r="AO66" s="1">
        <f t="shared" si="4"/>
        <v>0.9046296296</v>
      </c>
      <c r="AP66" s="1"/>
    </row>
    <row r="67" ht="12.75" customHeight="1">
      <c r="A67" s="1" t="s">
        <v>563</v>
      </c>
      <c r="B67" s="1" t="s">
        <v>564</v>
      </c>
      <c r="C67" s="4" t="s">
        <v>44</v>
      </c>
      <c r="D67" s="1" t="s">
        <v>99</v>
      </c>
      <c r="E67" s="1" t="s">
        <v>173</v>
      </c>
      <c r="F67" s="1" t="s">
        <v>179</v>
      </c>
      <c r="G67" s="1" t="s">
        <v>564</v>
      </c>
      <c r="H67" s="1" t="s">
        <v>65</v>
      </c>
      <c r="I67" s="1" t="s">
        <v>421</v>
      </c>
      <c r="J67" s="1">
        <v>20.0</v>
      </c>
      <c r="K67" s="1">
        <v>90.0</v>
      </c>
      <c r="L67" s="1">
        <v>1991.0</v>
      </c>
      <c r="M67" s="1"/>
      <c r="N67" s="1"/>
      <c r="O67" s="1">
        <v>2008.0</v>
      </c>
      <c r="P67" s="1" t="s">
        <v>246</v>
      </c>
      <c r="Q67" s="4" t="s">
        <v>51</v>
      </c>
      <c r="R67" s="1" t="s">
        <v>52</v>
      </c>
      <c r="S67" s="1" t="s">
        <v>30</v>
      </c>
      <c r="T67" s="4" t="s">
        <v>565</v>
      </c>
      <c r="U67" s="1">
        <v>33.0</v>
      </c>
      <c r="V67" s="1"/>
      <c r="W67" s="1"/>
      <c r="X67" s="4" t="s">
        <v>55</v>
      </c>
      <c r="Y67" s="4" t="s">
        <v>148</v>
      </c>
      <c r="Z67" s="4" t="s">
        <v>566</v>
      </c>
      <c r="AA67" s="4" t="s">
        <v>567</v>
      </c>
      <c r="AB67" s="4" t="s">
        <v>567</v>
      </c>
      <c r="AC67" s="1" t="s">
        <v>261</v>
      </c>
      <c r="AD67" s="1" t="s">
        <v>568</v>
      </c>
      <c r="AE67" s="1" t="s">
        <v>386</v>
      </c>
      <c r="AF67" s="1" t="s">
        <v>60</v>
      </c>
      <c r="AG67" s="4" t="s">
        <v>62</v>
      </c>
      <c r="AH67" s="1">
        <v>8.0</v>
      </c>
      <c r="AI67" s="1">
        <v>8.0</v>
      </c>
      <c r="AJ67" s="1">
        <v>8.0</v>
      </c>
      <c r="AK67" s="1">
        <f t="shared" si="1"/>
        <v>24</v>
      </c>
      <c r="AL67" s="1">
        <v>1.0</v>
      </c>
      <c r="AM67" s="1">
        <v>445.0</v>
      </c>
      <c r="AN67" s="1">
        <f t="shared" si="2"/>
        <v>445</v>
      </c>
      <c r="AO67" s="1">
        <f t="shared" si="4"/>
        <v>1.202247191</v>
      </c>
      <c r="AP67" s="1"/>
    </row>
    <row r="68" ht="12.75" customHeight="1">
      <c r="A68" s="1" t="s">
        <v>569</v>
      </c>
      <c r="B68" s="1" t="s">
        <v>570</v>
      </c>
      <c r="C68" s="4" t="s">
        <v>44</v>
      </c>
      <c r="D68" s="1" t="s">
        <v>148</v>
      </c>
      <c r="E68" s="1" t="s">
        <v>160</v>
      </c>
      <c r="F68" s="1" t="s">
        <v>161</v>
      </c>
      <c r="G68" s="4" t="s">
        <v>571</v>
      </c>
      <c r="H68" s="1" t="s">
        <v>65</v>
      </c>
      <c r="I68" s="1" t="s">
        <v>382</v>
      </c>
      <c r="J68" s="1">
        <v>21.0</v>
      </c>
      <c r="K68" s="1">
        <v>0.0</v>
      </c>
      <c r="L68" s="1">
        <v>2003.0</v>
      </c>
      <c r="M68" s="1"/>
      <c r="N68" s="1"/>
      <c r="O68" s="1">
        <v>2008.0</v>
      </c>
      <c r="P68" s="1" t="s">
        <v>214</v>
      </c>
      <c r="Q68" s="4" t="s">
        <v>51</v>
      </c>
      <c r="R68" s="1" t="s">
        <v>52</v>
      </c>
      <c r="S68" s="1" t="s">
        <v>106</v>
      </c>
      <c r="T68" s="4" t="s">
        <v>572</v>
      </c>
      <c r="U68" s="4">
        <v>1975.0</v>
      </c>
      <c r="V68" s="1"/>
      <c r="W68" s="1"/>
      <c r="X68" s="4" t="s">
        <v>55</v>
      </c>
      <c r="Y68" s="4" t="s">
        <v>148</v>
      </c>
      <c r="Z68" s="1" t="s">
        <v>573</v>
      </c>
      <c r="AA68" s="1" t="s">
        <v>574</v>
      </c>
      <c r="AB68" s="1" t="s">
        <v>478</v>
      </c>
      <c r="AC68" s="1" t="s">
        <v>58</v>
      </c>
      <c r="AD68" s="1" t="s">
        <v>244</v>
      </c>
      <c r="AE68" s="1" t="s">
        <v>60</v>
      </c>
      <c r="AF68" s="1" t="s">
        <v>60</v>
      </c>
      <c r="AG68" s="4" t="s">
        <v>62</v>
      </c>
      <c r="AH68" s="1">
        <v>6.0</v>
      </c>
      <c r="AI68" s="1">
        <v>6.0</v>
      </c>
      <c r="AJ68" s="1">
        <v>6.0</v>
      </c>
      <c r="AK68" s="1">
        <f t="shared" si="1"/>
        <v>18</v>
      </c>
      <c r="AL68" s="1">
        <v>1.0</v>
      </c>
      <c r="AM68" s="1">
        <v>365.0</v>
      </c>
      <c r="AN68" s="1">
        <f t="shared" si="2"/>
        <v>365</v>
      </c>
      <c r="AO68" s="1">
        <f t="shared" si="4"/>
        <v>0.902739726</v>
      </c>
      <c r="AP68" s="1"/>
    </row>
    <row r="69" ht="12.75" customHeight="1">
      <c r="A69" s="1" t="s">
        <v>575</v>
      </c>
      <c r="B69" s="1" t="s">
        <v>576</v>
      </c>
      <c r="C69" s="4" t="s">
        <v>44</v>
      </c>
      <c r="D69" s="1" t="s">
        <v>45</v>
      </c>
      <c r="E69" s="4" t="s">
        <v>124</v>
      </c>
      <c r="F69" s="1" t="s">
        <v>126</v>
      </c>
      <c r="G69" s="4" t="s">
        <v>577</v>
      </c>
      <c r="H69" s="1" t="s">
        <v>65</v>
      </c>
      <c r="I69" s="1" t="s">
        <v>494</v>
      </c>
      <c r="J69" s="1">
        <v>21.0</v>
      </c>
      <c r="K69" s="1">
        <v>0.0</v>
      </c>
      <c r="L69" s="1">
        <v>2005.0</v>
      </c>
      <c r="M69" s="1"/>
      <c r="N69" s="1"/>
      <c r="O69" s="1">
        <v>2008.0</v>
      </c>
      <c r="P69" s="1" t="s">
        <v>246</v>
      </c>
      <c r="Q69" s="4" t="s">
        <v>51</v>
      </c>
      <c r="R69" s="1" t="s">
        <v>52</v>
      </c>
      <c r="S69" s="1" t="s">
        <v>301</v>
      </c>
      <c r="T69" s="1" t="s">
        <v>383</v>
      </c>
      <c r="U69" s="1">
        <v>1250.0</v>
      </c>
      <c r="V69" s="1"/>
      <c r="W69" s="1"/>
      <c r="X69" s="4" t="s">
        <v>55</v>
      </c>
      <c r="Y69" s="4" t="s">
        <v>99</v>
      </c>
      <c r="Z69" s="1" t="s">
        <v>178</v>
      </c>
      <c r="AA69" s="1" t="s">
        <v>578</v>
      </c>
      <c r="AB69" s="4" t="s">
        <v>579</v>
      </c>
      <c r="AC69" s="1" t="s">
        <v>69</v>
      </c>
      <c r="AD69" s="1" t="s">
        <v>580</v>
      </c>
      <c r="AE69" s="1" t="s">
        <v>386</v>
      </c>
      <c r="AF69" s="1" t="s">
        <v>60</v>
      </c>
      <c r="AG69" s="4" t="s">
        <v>62</v>
      </c>
      <c r="AH69" s="1">
        <v>5.0</v>
      </c>
      <c r="AI69" s="1">
        <v>5.0</v>
      </c>
      <c r="AJ69" s="1">
        <v>5.0</v>
      </c>
      <c r="AK69" s="1">
        <f t="shared" si="1"/>
        <v>15</v>
      </c>
      <c r="AL69" s="1">
        <v>1.0</v>
      </c>
      <c r="AM69" s="1">
        <v>448.0</v>
      </c>
      <c r="AN69" s="1">
        <f t="shared" si="2"/>
        <v>448</v>
      </c>
      <c r="AO69" s="1">
        <f t="shared" si="4"/>
        <v>0.7522321429</v>
      </c>
      <c r="AP69" s="1"/>
    </row>
    <row r="70" ht="12.75" customHeight="1">
      <c r="A70" s="1" t="s">
        <v>581</v>
      </c>
      <c r="B70" s="1" t="s">
        <v>582</v>
      </c>
      <c r="C70" s="4" t="s">
        <v>44</v>
      </c>
      <c r="D70" s="1" t="s">
        <v>45</v>
      </c>
      <c r="E70" s="4" t="s">
        <v>124</v>
      </c>
      <c r="F70" s="1" t="s">
        <v>126</v>
      </c>
      <c r="G70" s="1"/>
      <c r="H70" s="1" t="s">
        <v>65</v>
      </c>
      <c r="I70" s="1" t="s">
        <v>428</v>
      </c>
      <c r="J70" s="1">
        <v>21.0</v>
      </c>
      <c r="K70" s="1">
        <v>0.0</v>
      </c>
      <c r="L70" s="1">
        <v>2007.0</v>
      </c>
      <c r="M70" s="1"/>
      <c r="N70" s="1"/>
      <c r="O70" s="1">
        <v>2008.0</v>
      </c>
      <c r="P70" s="1" t="s">
        <v>214</v>
      </c>
      <c r="Q70" s="4" t="s">
        <v>51</v>
      </c>
      <c r="R70" s="1" t="s">
        <v>52</v>
      </c>
      <c r="S70" s="1" t="s">
        <v>270</v>
      </c>
      <c r="T70" s="4" t="s">
        <v>583</v>
      </c>
      <c r="U70" s="1">
        <v>1945.0</v>
      </c>
      <c r="V70" s="1"/>
      <c r="W70" s="1"/>
      <c r="X70" s="4" t="s">
        <v>55</v>
      </c>
      <c r="Y70" s="4" t="s">
        <v>99</v>
      </c>
      <c r="Z70" s="1" t="s">
        <v>183</v>
      </c>
      <c r="AA70" s="1" t="s">
        <v>496</v>
      </c>
      <c r="AB70" s="1" t="s">
        <v>496</v>
      </c>
      <c r="AC70" s="1" t="s">
        <v>58</v>
      </c>
      <c r="AD70" s="1" t="s">
        <v>385</v>
      </c>
      <c r="AE70" s="1" t="s">
        <v>60</v>
      </c>
      <c r="AF70" s="1" t="s">
        <v>60</v>
      </c>
      <c r="AG70" s="4" t="s">
        <v>62</v>
      </c>
      <c r="AH70" s="1">
        <v>6.0</v>
      </c>
      <c r="AI70" s="1">
        <v>6.0</v>
      </c>
      <c r="AJ70" s="1">
        <v>6.0</v>
      </c>
      <c r="AK70" s="1">
        <f t="shared" si="1"/>
        <v>18</v>
      </c>
      <c r="AL70" s="1">
        <v>1.0</v>
      </c>
      <c r="AM70" s="1">
        <v>352.0</v>
      </c>
      <c r="AN70" s="1">
        <f t="shared" si="2"/>
        <v>352</v>
      </c>
      <c r="AO70" s="1">
        <f t="shared" si="4"/>
        <v>0.9028409091</v>
      </c>
      <c r="AP70" s="1"/>
    </row>
    <row r="71" ht="12.75" customHeight="1">
      <c r="A71" s="1" t="s">
        <v>584</v>
      </c>
      <c r="B71" s="1" t="s">
        <v>585</v>
      </c>
      <c r="C71" s="4" t="s">
        <v>44</v>
      </c>
      <c r="D71" s="1" t="s">
        <v>99</v>
      </c>
      <c r="E71" s="1" t="s">
        <v>173</v>
      </c>
      <c r="F71" s="1" t="s">
        <v>178</v>
      </c>
      <c r="G71" s="4" t="s">
        <v>586</v>
      </c>
      <c r="H71" s="1" t="s">
        <v>65</v>
      </c>
      <c r="I71" s="1" t="s">
        <v>587</v>
      </c>
      <c r="J71" s="1">
        <v>14.0</v>
      </c>
      <c r="K71" s="1">
        <v>20.0</v>
      </c>
      <c r="L71" s="1">
        <v>1321.0</v>
      </c>
      <c r="M71" s="1"/>
      <c r="N71" s="1"/>
      <c r="O71" s="1">
        <v>2009.0</v>
      </c>
      <c r="P71" s="1" t="s">
        <v>554</v>
      </c>
      <c r="Q71" s="4" t="s">
        <v>51</v>
      </c>
      <c r="R71" s="1" t="s">
        <v>280</v>
      </c>
      <c r="S71" s="1" t="s">
        <v>282</v>
      </c>
      <c r="T71" s="1" t="s">
        <v>383</v>
      </c>
      <c r="U71" s="4">
        <v>1300.0</v>
      </c>
      <c r="V71" s="4">
        <v>4.0</v>
      </c>
      <c r="W71" s="1"/>
      <c r="X71" s="4" t="s">
        <v>30</v>
      </c>
      <c r="Y71" s="4" t="s">
        <v>30</v>
      </c>
      <c r="Z71" s="4" t="s">
        <v>588</v>
      </c>
      <c r="AA71" s="4" t="s">
        <v>588</v>
      </c>
      <c r="AB71" s="1" t="s">
        <v>589</v>
      </c>
      <c r="AC71" s="1" t="s">
        <v>261</v>
      </c>
      <c r="AD71" s="1" t="s">
        <v>580</v>
      </c>
      <c r="AE71" s="1" t="s">
        <v>386</v>
      </c>
      <c r="AF71" s="1" t="s">
        <v>60</v>
      </c>
      <c r="AG71" s="4" t="s">
        <v>62</v>
      </c>
      <c r="AH71" s="1">
        <v>6.0</v>
      </c>
      <c r="AI71" s="1">
        <v>6.0</v>
      </c>
      <c r="AJ71" s="1">
        <v>6.0</v>
      </c>
      <c r="AK71" s="1">
        <f t="shared" si="1"/>
        <v>18</v>
      </c>
      <c r="AL71" s="1">
        <v>1.0</v>
      </c>
      <c r="AM71" s="1">
        <v>894.0</v>
      </c>
      <c r="AN71" s="1">
        <f t="shared" si="2"/>
        <v>894</v>
      </c>
      <c r="AO71" s="1">
        <f t="shared" si="4"/>
        <v>0.9011185682</v>
      </c>
      <c r="AP71" s="1"/>
    </row>
    <row r="72" ht="12.75" customHeight="1">
      <c r="A72" s="1" t="s">
        <v>590</v>
      </c>
      <c r="B72" s="1" t="s">
        <v>591</v>
      </c>
      <c r="C72" s="4" t="s">
        <v>44</v>
      </c>
      <c r="D72" s="1" t="s">
        <v>99</v>
      </c>
      <c r="E72" s="1" t="s">
        <v>180</v>
      </c>
      <c r="F72" s="1" t="s">
        <v>183</v>
      </c>
      <c r="G72" s="4" t="s">
        <v>592</v>
      </c>
      <c r="H72" s="1" t="s">
        <v>65</v>
      </c>
      <c r="I72" s="1" t="s">
        <v>593</v>
      </c>
      <c r="J72" s="1">
        <v>16.0</v>
      </c>
      <c r="K72" s="1">
        <v>30.0</v>
      </c>
      <c r="L72" s="1">
        <v>1532.0</v>
      </c>
      <c r="M72" s="1"/>
      <c r="N72" s="1"/>
      <c r="O72" s="1">
        <v>2009.0</v>
      </c>
      <c r="P72" s="1" t="s">
        <v>214</v>
      </c>
      <c r="Q72" s="4" t="s">
        <v>51</v>
      </c>
      <c r="R72" s="1" t="s">
        <v>286</v>
      </c>
      <c r="S72" s="1" t="s">
        <v>287</v>
      </c>
      <c r="T72" s="4" t="s">
        <v>594</v>
      </c>
      <c r="U72" s="4">
        <v>1513.0</v>
      </c>
      <c r="V72" s="1"/>
      <c r="W72" s="1"/>
      <c r="X72" s="4" t="s">
        <v>55</v>
      </c>
      <c r="Y72" s="4" t="s">
        <v>99</v>
      </c>
      <c r="Z72" s="4" t="s">
        <v>178</v>
      </c>
      <c r="AA72" s="4" t="s">
        <v>595</v>
      </c>
      <c r="AB72" s="4" t="s">
        <v>595</v>
      </c>
      <c r="AC72" s="4" t="s">
        <v>69</v>
      </c>
      <c r="AD72" s="1" t="s">
        <v>1</v>
      </c>
      <c r="AE72" s="1" t="s">
        <v>60</v>
      </c>
      <c r="AF72" s="1" t="s">
        <v>60</v>
      </c>
      <c r="AG72" s="4" t="s">
        <v>62</v>
      </c>
      <c r="AH72" s="1">
        <v>6.0</v>
      </c>
      <c r="AI72" s="1">
        <v>6.0</v>
      </c>
      <c r="AJ72" s="1">
        <v>6.0</v>
      </c>
      <c r="AK72" s="1">
        <f t="shared" si="1"/>
        <v>18</v>
      </c>
      <c r="AL72" s="1">
        <v>1.0</v>
      </c>
      <c r="AM72" s="1">
        <v>149.0</v>
      </c>
      <c r="AN72" s="1">
        <f t="shared" si="2"/>
        <v>149</v>
      </c>
      <c r="AO72" s="1">
        <f t="shared" si="4"/>
        <v>0.9067114094</v>
      </c>
      <c r="AP72" s="1"/>
    </row>
    <row r="73" ht="12.75" customHeight="1">
      <c r="A73" s="1" t="s">
        <v>596</v>
      </c>
      <c r="B73" s="1" t="s">
        <v>597</v>
      </c>
      <c r="C73" s="4" t="s">
        <v>44</v>
      </c>
      <c r="D73" s="1" t="s">
        <v>99</v>
      </c>
      <c r="E73" s="1" t="s">
        <v>100</v>
      </c>
      <c r="F73" s="1" t="s">
        <v>101</v>
      </c>
      <c r="G73" s="1"/>
      <c r="H73" s="1" t="s">
        <v>65</v>
      </c>
      <c r="I73" s="1" t="s">
        <v>598</v>
      </c>
      <c r="J73" s="1">
        <v>20.0</v>
      </c>
      <c r="K73" s="1">
        <v>80.0</v>
      </c>
      <c r="L73" s="1">
        <v>1989.0</v>
      </c>
      <c r="M73" s="1"/>
      <c r="N73" s="1"/>
      <c r="O73" s="1">
        <v>2009.0</v>
      </c>
      <c r="P73" s="1" t="s">
        <v>214</v>
      </c>
      <c r="Q73" s="4" t="s">
        <v>51</v>
      </c>
      <c r="R73" s="1" t="s">
        <v>52</v>
      </c>
      <c r="S73" s="1" t="s">
        <v>30</v>
      </c>
      <c r="T73" s="1" t="s">
        <v>60</v>
      </c>
      <c r="U73" s="1">
        <v>1989.0</v>
      </c>
      <c r="V73" s="1"/>
      <c r="W73" s="1"/>
      <c r="X73" s="4" t="s">
        <v>30</v>
      </c>
      <c r="Y73" s="4" t="s">
        <v>30</v>
      </c>
      <c r="Z73" s="1" t="s">
        <v>599</v>
      </c>
      <c r="AA73" s="1" t="s">
        <v>599</v>
      </c>
      <c r="AB73" s="1" t="s">
        <v>600</v>
      </c>
      <c r="AC73" s="1" t="s">
        <v>261</v>
      </c>
      <c r="AD73" s="1" t="s">
        <v>174</v>
      </c>
      <c r="AE73" s="1" t="s">
        <v>491</v>
      </c>
      <c r="AF73" s="1" t="s">
        <v>601</v>
      </c>
      <c r="AG73" s="4" t="s">
        <v>62</v>
      </c>
      <c r="AH73" s="1">
        <v>7.0</v>
      </c>
      <c r="AI73" s="1">
        <v>8.0</v>
      </c>
      <c r="AJ73" s="1">
        <v>7.0</v>
      </c>
      <c r="AK73" s="1">
        <f t="shared" si="1"/>
        <v>22</v>
      </c>
      <c r="AL73" s="1">
        <v>1.0</v>
      </c>
      <c r="AM73" s="1">
        <v>298.0</v>
      </c>
      <c r="AN73" s="1">
        <f t="shared" si="2"/>
        <v>298</v>
      </c>
      <c r="AO73" s="1">
        <f t="shared" si="4"/>
        <v>1.103355705</v>
      </c>
      <c r="AP73" s="1"/>
    </row>
    <row r="74" ht="12.75" customHeight="1">
      <c r="A74" s="1" t="s">
        <v>602</v>
      </c>
      <c r="B74" s="1" t="s">
        <v>603</v>
      </c>
      <c r="C74" s="4" t="s">
        <v>44</v>
      </c>
      <c r="D74" s="1" t="s">
        <v>45</v>
      </c>
      <c r="E74" s="4" t="s">
        <v>124</v>
      </c>
      <c r="F74" s="1" t="s">
        <v>126</v>
      </c>
      <c r="G74" s="1"/>
      <c r="H74" s="1" t="s">
        <v>48</v>
      </c>
      <c r="I74" s="1" t="s">
        <v>604</v>
      </c>
      <c r="J74" s="1">
        <v>21.0</v>
      </c>
      <c r="K74" s="1">
        <v>0.0</v>
      </c>
      <c r="L74" s="1">
        <v>2007.0</v>
      </c>
      <c r="M74" s="1"/>
      <c r="N74" s="1"/>
      <c r="O74" s="1">
        <v>2009.0</v>
      </c>
      <c r="P74" s="1" t="s">
        <v>246</v>
      </c>
      <c r="Q74" s="4" t="s">
        <v>51</v>
      </c>
      <c r="R74" s="1" t="s">
        <v>52</v>
      </c>
      <c r="S74" s="1" t="s">
        <v>53</v>
      </c>
      <c r="T74" s="4" t="s">
        <v>106</v>
      </c>
      <c r="U74" s="1">
        <v>2007.0</v>
      </c>
      <c r="V74" s="1"/>
      <c r="W74" s="1"/>
      <c r="X74" s="4" t="s">
        <v>55</v>
      </c>
      <c r="Y74" s="4" t="s">
        <v>45</v>
      </c>
      <c r="Z74" s="1" t="s">
        <v>126</v>
      </c>
      <c r="AA74" s="4" t="s">
        <v>605</v>
      </c>
      <c r="AB74" s="4" t="s">
        <v>606</v>
      </c>
      <c r="AC74" s="1" t="s">
        <v>261</v>
      </c>
      <c r="AD74" s="1" t="s">
        <v>252</v>
      </c>
      <c r="AE74" s="1" t="s">
        <v>218</v>
      </c>
      <c r="AF74" s="1" t="s">
        <v>607</v>
      </c>
      <c r="AG74" s="4" t="s">
        <v>62</v>
      </c>
      <c r="AH74" s="1">
        <v>4.0</v>
      </c>
      <c r="AI74" s="1">
        <v>4.0</v>
      </c>
      <c r="AJ74" s="1">
        <v>4.0</v>
      </c>
      <c r="AK74" s="1">
        <f t="shared" si="1"/>
        <v>12</v>
      </c>
      <c r="AL74" s="1">
        <v>1.0</v>
      </c>
      <c r="AM74" s="1">
        <v>432.0</v>
      </c>
      <c r="AN74" s="1">
        <f t="shared" si="2"/>
        <v>432</v>
      </c>
      <c r="AO74" s="1">
        <f t="shared" si="4"/>
        <v>0.6023148148</v>
      </c>
      <c r="AP74" s="1"/>
    </row>
    <row r="75" ht="12.75" customHeight="1">
      <c r="A75" s="1" t="s">
        <v>602</v>
      </c>
      <c r="B75" s="1" t="s">
        <v>608</v>
      </c>
      <c r="C75" s="4" t="s">
        <v>44</v>
      </c>
      <c r="D75" s="1" t="s">
        <v>45</v>
      </c>
      <c r="E75" s="4" t="s">
        <v>124</v>
      </c>
      <c r="F75" s="1" t="s">
        <v>126</v>
      </c>
      <c r="G75" s="1"/>
      <c r="H75" s="1" t="s">
        <v>48</v>
      </c>
      <c r="I75" s="1" t="s">
        <v>604</v>
      </c>
      <c r="J75" s="1">
        <v>21.0</v>
      </c>
      <c r="K75" s="1">
        <v>0.0</v>
      </c>
      <c r="L75" s="1">
        <v>2007.0</v>
      </c>
      <c r="M75" s="1"/>
      <c r="N75" s="1"/>
      <c r="O75" s="1">
        <v>2009.0</v>
      </c>
      <c r="P75" s="1" t="s">
        <v>246</v>
      </c>
      <c r="Q75" s="4" t="s">
        <v>51</v>
      </c>
      <c r="R75" s="1" t="s">
        <v>52</v>
      </c>
      <c r="S75" s="1" t="s">
        <v>53</v>
      </c>
      <c r="T75" s="4" t="s">
        <v>106</v>
      </c>
      <c r="U75" s="1">
        <v>2007.0</v>
      </c>
      <c r="V75" s="1"/>
      <c r="W75" s="1"/>
      <c r="X75" s="4" t="s">
        <v>55</v>
      </c>
      <c r="Y75" s="4" t="s">
        <v>45</v>
      </c>
      <c r="Z75" s="1" t="s">
        <v>126</v>
      </c>
      <c r="AA75" s="4" t="s">
        <v>605</v>
      </c>
      <c r="AB75" s="4" t="s">
        <v>606</v>
      </c>
      <c r="AC75" s="1" t="s">
        <v>261</v>
      </c>
      <c r="AD75" s="1" t="s">
        <v>252</v>
      </c>
      <c r="AE75" s="1" t="s">
        <v>218</v>
      </c>
      <c r="AF75" s="1" t="s">
        <v>607</v>
      </c>
      <c r="AG75" s="4" t="s">
        <v>62</v>
      </c>
      <c r="AH75" s="1">
        <v>4.0</v>
      </c>
      <c r="AI75" s="1">
        <v>4.0</v>
      </c>
      <c r="AJ75" s="1">
        <v>4.0</v>
      </c>
      <c r="AK75" s="1">
        <f t="shared" si="1"/>
        <v>12</v>
      </c>
      <c r="AL75" s="1">
        <v>1.0</v>
      </c>
      <c r="AM75" s="1">
        <v>464.0</v>
      </c>
      <c r="AN75" s="1">
        <f t="shared" si="2"/>
        <v>464</v>
      </c>
      <c r="AO75" s="1">
        <f t="shared" si="4"/>
        <v>0.6021551724</v>
      </c>
      <c r="AP75" s="1"/>
    </row>
    <row r="76" ht="12.75" customHeight="1">
      <c r="A76" s="1" t="s">
        <v>602</v>
      </c>
      <c r="B76" s="1" t="s">
        <v>609</v>
      </c>
      <c r="C76" s="4" t="s">
        <v>44</v>
      </c>
      <c r="D76" s="1" t="s">
        <v>45</v>
      </c>
      <c r="E76" s="4" t="s">
        <v>124</v>
      </c>
      <c r="F76" s="1" t="s">
        <v>126</v>
      </c>
      <c r="G76" s="1"/>
      <c r="H76" s="1" t="s">
        <v>48</v>
      </c>
      <c r="I76" s="1" t="s">
        <v>604</v>
      </c>
      <c r="J76" s="1">
        <v>21.0</v>
      </c>
      <c r="K76" s="1">
        <v>0.0</v>
      </c>
      <c r="L76" s="1">
        <v>2008.0</v>
      </c>
      <c r="M76" s="1"/>
      <c r="N76" s="1"/>
      <c r="O76" s="1">
        <v>2009.0</v>
      </c>
      <c r="P76" s="1" t="s">
        <v>246</v>
      </c>
      <c r="Q76" s="4" t="s">
        <v>51</v>
      </c>
      <c r="R76" s="1" t="s">
        <v>52</v>
      </c>
      <c r="S76" s="1" t="s">
        <v>53</v>
      </c>
      <c r="T76" s="4" t="s">
        <v>106</v>
      </c>
      <c r="U76" s="1">
        <v>2008.0</v>
      </c>
      <c r="V76" s="1"/>
      <c r="W76" s="1"/>
      <c r="X76" s="4" t="s">
        <v>55</v>
      </c>
      <c r="Y76" s="4" t="s">
        <v>45</v>
      </c>
      <c r="Z76" s="1" t="s">
        <v>126</v>
      </c>
      <c r="AA76" s="4" t="s">
        <v>605</v>
      </c>
      <c r="AB76" s="4" t="s">
        <v>606</v>
      </c>
      <c r="AC76" s="1" t="s">
        <v>261</v>
      </c>
      <c r="AD76" s="1" t="s">
        <v>252</v>
      </c>
      <c r="AE76" s="1" t="s">
        <v>218</v>
      </c>
      <c r="AF76" s="1" t="s">
        <v>607</v>
      </c>
      <c r="AG76" s="4" t="s">
        <v>62</v>
      </c>
      <c r="AH76" s="1">
        <v>4.0</v>
      </c>
      <c r="AI76" s="1">
        <v>4.0</v>
      </c>
      <c r="AJ76" s="1">
        <v>4.0</v>
      </c>
      <c r="AK76" s="1">
        <f t="shared" si="1"/>
        <v>12</v>
      </c>
      <c r="AL76" s="1">
        <v>1.0</v>
      </c>
      <c r="AM76" s="1">
        <v>567.0</v>
      </c>
      <c r="AN76" s="1">
        <f t="shared" si="2"/>
        <v>567</v>
      </c>
      <c r="AO76" s="1">
        <f t="shared" si="4"/>
        <v>0.6017636684</v>
      </c>
      <c r="AP76" s="1"/>
    </row>
    <row r="77" ht="12.75" customHeight="1">
      <c r="A77" s="1" t="s">
        <v>610</v>
      </c>
      <c r="B77" s="1" t="s">
        <v>611</v>
      </c>
      <c r="C77" s="4" t="s">
        <v>44</v>
      </c>
      <c r="D77" s="1" t="s">
        <v>99</v>
      </c>
      <c r="E77" s="1" t="s">
        <v>180</v>
      </c>
      <c r="F77" s="1" t="s">
        <v>183</v>
      </c>
      <c r="G77" s="1"/>
      <c r="H77" s="1" t="s">
        <v>65</v>
      </c>
      <c r="I77" s="1" t="s">
        <v>612</v>
      </c>
      <c r="J77" s="1">
        <v>19.0</v>
      </c>
      <c r="K77" s="1">
        <v>50.0</v>
      </c>
      <c r="L77" s="1">
        <v>1856.0</v>
      </c>
      <c r="M77" s="4">
        <v>11.0</v>
      </c>
      <c r="N77" s="4">
        <v>11.0</v>
      </c>
      <c r="O77" s="1">
        <v>2010.0</v>
      </c>
      <c r="P77" s="1" t="s">
        <v>554</v>
      </c>
      <c r="Q77" s="4" t="s">
        <v>51</v>
      </c>
      <c r="R77" s="1" t="s">
        <v>52</v>
      </c>
      <c r="S77" s="1" t="s">
        <v>272</v>
      </c>
      <c r="T77" s="4" t="s">
        <v>613</v>
      </c>
      <c r="U77" s="1">
        <v>1856.0</v>
      </c>
      <c r="V77" s="1"/>
      <c r="W77" s="1"/>
      <c r="X77" s="4" t="s">
        <v>55</v>
      </c>
      <c r="Y77" s="4" t="s">
        <v>99</v>
      </c>
      <c r="Z77" s="1" t="s">
        <v>183</v>
      </c>
      <c r="AA77" s="4" t="s">
        <v>614</v>
      </c>
      <c r="AB77" s="4" t="s">
        <v>615</v>
      </c>
      <c r="AC77" s="1" t="s">
        <v>92</v>
      </c>
      <c r="AD77" s="1" t="s">
        <v>616</v>
      </c>
      <c r="AE77" s="1" t="s">
        <v>60</v>
      </c>
      <c r="AF77" s="1" t="s">
        <v>60</v>
      </c>
      <c r="AG77" s="4" t="s">
        <v>62</v>
      </c>
      <c r="AH77" s="1">
        <v>6.0</v>
      </c>
      <c r="AI77" s="1">
        <v>5.0</v>
      </c>
      <c r="AJ77" s="1">
        <v>6.0</v>
      </c>
      <c r="AK77" s="1">
        <f t="shared" si="1"/>
        <v>17</v>
      </c>
      <c r="AL77" s="1">
        <v>1.0</v>
      </c>
      <c r="AM77" s="1">
        <v>366.0</v>
      </c>
      <c r="AN77" s="1">
        <f t="shared" si="2"/>
        <v>366</v>
      </c>
      <c r="AO77" s="1">
        <f t="shared" si="4"/>
        <v>0.8527322404</v>
      </c>
      <c r="AP77" s="4" t="s">
        <v>617</v>
      </c>
    </row>
    <row r="78" ht="12.75" customHeight="1">
      <c r="A78" s="4" t="s">
        <v>618</v>
      </c>
      <c r="B78" s="4" t="s">
        <v>619</v>
      </c>
      <c r="C78" s="4" t="s">
        <v>44</v>
      </c>
      <c r="D78" s="4" t="s">
        <v>45</v>
      </c>
      <c r="E78" s="8" t="s">
        <v>46</v>
      </c>
      <c r="F78" s="8" t="s">
        <v>47</v>
      </c>
      <c r="G78" s="4" t="s">
        <v>619</v>
      </c>
      <c r="H78" s="4" t="s">
        <v>65</v>
      </c>
      <c r="I78" s="4" t="s">
        <v>620</v>
      </c>
      <c r="J78" s="4">
        <v>21.0</v>
      </c>
      <c r="K78" s="4">
        <v>10.0</v>
      </c>
      <c r="L78" s="4">
        <v>2011.0</v>
      </c>
      <c r="M78" s="4">
        <v>25.0</v>
      </c>
      <c r="N78" s="4">
        <v>11.0</v>
      </c>
      <c r="O78" s="4">
        <v>2011.0</v>
      </c>
      <c r="P78" s="4" t="s">
        <v>214</v>
      </c>
      <c r="Q78" s="4" t="s">
        <v>51</v>
      </c>
      <c r="R78" s="4" t="s">
        <v>232</v>
      </c>
      <c r="S78" s="4" t="s">
        <v>234</v>
      </c>
      <c r="T78" s="4" t="s">
        <v>106</v>
      </c>
      <c r="U78" s="4">
        <v>2010.0</v>
      </c>
      <c r="V78" s="1"/>
      <c r="W78" s="1"/>
      <c r="X78" s="4" t="s">
        <v>139</v>
      </c>
      <c r="Y78" s="4" t="s">
        <v>139</v>
      </c>
      <c r="Z78" s="4" t="s">
        <v>139</v>
      </c>
      <c r="AA78" s="4" t="s">
        <v>139</v>
      </c>
      <c r="AB78" s="4" t="s">
        <v>139</v>
      </c>
      <c r="AC78" s="4" t="s">
        <v>69</v>
      </c>
      <c r="AD78" s="11" t="s">
        <v>60</v>
      </c>
      <c r="AE78" s="11" t="s">
        <v>60</v>
      </c>
      <c r="AF78" s="11" t="s">
        <v>60</v>
      </c>
      <c r="AG78" s="4" t="s">
        <v>62</v>
      </c>
      <c r="AH78" s="4">
        <v>7.0</v>
      </c>
      <c r="AI78" s="4">
        <v>6.0</v>
      </c>
      <c r="AJ78" s="4">
        <v>6.0</v>
      </c>
      <c r="AK78" s="1">
        <f t="shared" si="1"/>
        <v>19</v>
      </c>
      <c r="AL78" s="1">
        <v>1.0</v>
      </c>
      <c r="AM78" s="4">
        <v>160.0</v>
      </c>
      <c r="AN78" s="1">
        <f t="shared" si="2"/>
        <v>160</v>
      </c>
      <c r="AO78" s="1">
        <f t="shared" si="4"/>
        <v>0.95625</v>
      </c>
      <c r="AP78" s="4" t="s">
        <v>621</v>
      </c>
    </row>
    <row r="79" ht="12.75" customHeight="1">
      <c r="A79" s="4" t="s">
        <v>622</v>
      </c>
      <c r="B79" s="4" t="s">
        <v>623</v>
      </c>
      <c r="C79" s="4" t="s">
        <v>44</v>
      </c>
      <c r="D79" s="4" t="s">
        <v>45</v>
      </c>
      <c r="E79" s="8" t="s">
        <v>46</v>
      </c>
      <c r="F79" s="8" t="s">
        <v>47</v>
      </c>
      <c r="G79" s="1"/>
      <c r="H79" s="4" t="s">
        <v>65</v>
      </c>
      <c r="I79" s="4" t="s">
        <v>624</v>
      </c>
      <c r="J79" s="4">
        <v>21.0</v>
      </c>
      <c r="K79" s="4">
        <v>10.0</v>
      </c>
      <c r="L79" s="4">
        <v>2010.0</v>
      </c>
      <c r="M79" s="4">
        <v>14.0</v>
      </c>
      <c r="N79" s="4">
        <v>12.0</v>
      </c>
      <c r="O79" s="4">
        <v>2011.0</v>
      </c>
      <c r="P79" s="4" t="s">
        <v>214</v>
      </c>
      <c r="Q79" s="4" t="s">
        <v>51</v>
      </c>
      <c r="R79" s="4" t="s">
        <v>232</v>
      </c>
      <c r="S79" s="4" t="s">
        <v>234</v>
      </c>
      <c r="T79" s="4" t="s">
        <v>625</v>
      </c>
      <c r="U79" s="4">
        <v>1962.0</v>
      </c>
      <c r="V79" s="4">
        <v>10.0</v>
      </c>
      <c r="W79" s="4">
        <v>11.0</v>
      </c>
      <c r="X79" s="4" t="s">
        <v>55</v>
      </c>
      <c r="Y79" s="4" t="s">
        <v>99</v>
      </c>
      <c r="Z79" s="4" t="s">
        <v>626</v>
      </c>
      <c r="AA79" s="4" t="s">
        <v>626</v>
      </c>
      <c r="AB79" s="4" t="s">
        <v>626</v>
      </c>
      <c r="AC79" s="4" t="s">
        <v>69</v>
      </c>
      <c r="AD79" s="11" t="s">
        <v>60</v>
      </c>
      <c r="AE79" s="11" t="s">
        <v>60</v>
      </c>
      <c r="AF79" s="11" t="s">
        <v>60</v>
      </c>
      <c r="AG79" s="4" t="s">
        <v>62</v>
      </c>
      <c r="AH79" s="4">
        <v>7.0</v>
      </c>
      <c r="AI79" s="4">
        <v>6.0</v>
      </c>
      <c r="AJ79" s="4">
        <v>6.0</v>
      </c>
      <c r="AK79" s="1">
        <f t="shared" si="1"/>
        <v>19</v>
      </c>
      <c r="AL79" s="1">
        <v>1.0</v>
      </c>
      <c r="AM79" s="4">
        <v>272.0</v>
      </c>
      <c r="AN79" s="1">
        <f t="shared" si="2"/>
        <v>272</v>
      </c>
      <c r="AO79" s="1">
        <f t="shared" si="4"/>
        <v>0.9536764706</v>
      </c>
      <c r="AP79" s="4" t="s">
        <v>718</v>
      </c>
    </row>
    <row r="80" ht="12.75" customHeight="1">
      <c r="A80" s="1" t="s">
        <v>722</v>
      </c>
      <c r="B80" s="1" t="s">
        <v>723</v>
      </c>
      <c r="C80" s="4" t="s">
        <v>44</v>
      </c>
      <c r="D80" s="1" t="s">
        <v>45</v>
      </c>
      <c r="E80" s="4" t="s">
        <v>124</v>
      </c>
      <c r="F80" s="1" t="s">
        <v>126</v>
      </c>
      <c r="G80" s="1"/>
      <c r="H80" s="1" t="s">
        <v>65</v>
      </c>
      <c r="I80" s="1" t="s">
        <v>428</v>
      </c>
      <c r="J80" s="1">
        <v>20.0</v>
      </c>
      <c r="K80" s="1">
        <v>60.0</v>
      </c>
      <c r="L80" s="1">
        <v>1969.0</v>
      </c>
      <c r="M80" s="1"/>
      <c r="N80" s="1"/>
      <c r="O80" s="1">
        <v>2010.0</v>
      </c>
      <c r="P80" s="1" t="s">
        <v>554</v>
      </c>
      <c r="Q80" s="4" t="s">
        <v>51</v>
      </c>
      <c r="R80" s="1" t="s">
        <v>52</v>
      </c>
      <c r="S80" s="1" t="s">
        <v>270</v>
      </c>
      <c r="T80" s="4" t="s">
        <v>583</v>
      </c>
      <c r="U80" s="4">
        <v>1945.0</v>
      </c>
      <c r="V80" s="1"/>
      <c r="W80" s="1"/>
      <c r="X80" s="4" t="s">
        <v>55</v>
      </c>
      <c r="Y80" s="4" t="s">
        <v>45</v>
      </c>
      <c r="Z80" s="1" t="s">
        <v>126</v>
      </c>
      <c r="AA80" s="1" t="s">
        <v>739</v>
      </c>
      <c r="AB80" s="1" t="s">
        <v>739</v>
      </c>
      <c r="AC80" s="1" t="s">
        <v>92</v>
      </c>
      <c r="AD80" s="1" t="s">
        <v>742</v>
      </c>
      <c r="AE80" s="1" t="s">
        <v>60</v>
      </c>
      <c r="AF80" s="1" t="s">
        <v>60</v>
      </c>
      <c r="AG80" s="4" t="s">
        <v>62</v>
      </c>
      <c r="AH80" s="1">
        <v>8.0</v>
      </c>
      <c r="AI80" s="1">
        <v>8.0</v>
      </c>
      <c r="AJ80" s="1">
        <v>6.0</v>
      </c>
      <c r="AK80" s="1">
        <f t="shared" si="1"/>
        <v>22</v>
      </c>
      <c r="AL80" s="1">
        <v>1.0</v>
      </c>
      <c r="AM80" s="1">
        <v>461.0</v>
      </c>
      <c r="AN80" s="1">
        <f t="shared" si="2"/>
        <v>461</v>
      </c>
      <c r="AO80" s="1">
        <f t="shared" si="4"/>
        <v>1.102169197</v>
      </c>
      <c r="AP80" s="1"/>
    </row>
    <row r="81" ht="12.75" customHeight="1">
      <c r="A81" s="1" t="s">
        <v>750</v>
      </c>
      <c r="B81" s="1" t="s">
        <v>752</v>
      </c>
      <c r="C81" s="4" t="s">
        <v>44</v>
      </c>
      <c r="D81" s="1" t="s">
        <v>99</v>
      </c>
      <c r="E81" s="1" t="s">
        <v>100</v>
      </c>
      <c r="F81" s="1" t="s">
        <v>101</v>
      </c>
      <c r="G81" s="1"/>
      <c r="H81" s="1" t="s">
        <v>65</v>
      </c>
      <c r="I81" s="1" t="s">
        <v>503</v>
      </c>
      <c r="J81" s="1">
        <v>20.0</v>
      </c>
      <c r="K81" s="1">
        <v>70.0</v>
      </c>
      <c r="L81" s="1">
        <v>1977.0</v>
      </c>
      <c r="M81" s="1"/>
      <c r="N81" s="1"/>
      <c r="O81" s="1">
        <v>2010.0</v>
      </c>
      <c r="P81" s="1" t="s">
        <v>105</v>
      </c>
      <c r="Q81" s="4" t="s">
        <v>51</v>
      </c>
      <c r="R81" s="1" t="s">
        <v>52</v>
      </c>
      <c r="S81" s="1" t="s">
        <v>30</v>
      </c>
      <c r="T81" s="1" t="s">
        <v>759</v>
      </c>
      <c r="U81" s="4">
        <v>-590.0</v>
      </c>
      <c r="V81" s="1"/>
      <c r="W81" s="1"/>
      <c r="X81" s="4" t="s">
        <v>30</v>
      </c>
      <c r="Y81" s="4" t="s">
        <v>30</v>
      </c>
      <c r="Z81" s="4" t="s">
        <v>170</v>
      </c>
      <c r="AA81" s="1" t="s">
        <v>171</v>
      </c>
      <c r="AB81" s="1" t="s">
        <v>171</v>
      </c>
      <c r="AC81" s="1" t="s">
        <v>172</v>
      </c>
      <c r="AD81" s="1" t="s">
        <v>171</v>
      </c>
      <c r="AE81" s="1" t="s">
        <v>60</v>
      </c>
      <c r="AF81" s="1" t="s">
        <v>171</v>
      </c>
      <c r="AG81" s="4" t="s">
        <v>62</v>
      </c>
      <c r="AH81" s="1">
        <v>8.0</v>
      </c>
      <c r="AI81" s="1">
        <v>8.0</v>
      </c>
      <c r="AJ81" s="1">
        <v>8.0</v>
      </c>
      <c r="AK81" s="1">
        <f t="shared" si="1"/>
        <v>24</v>
      </c>
      <c r="AL81" s="1">
        <v>1.0</v>
      </c>
      <c r="AM81" s="1">
        <v>470.0</v>
      </c>
      <c r="AN81" s="1">
        <f t="shared" si="2"/>
        <v>470</v>
      </c>
      <c r="AO81" s="1">
        <f t="shared" si="4"/>
        <v>1.20212766</v>
      </c>
      <c r="AP81" s="1"/>
    </row>
    <row r="82" ht="12.75" customHeight="1">
      <c r="A82" s="1" t="s">
        <v>767</v>
      </c>
      <c r="B82" s="1" t="s">
        <v>919</v>
      </c>
      <c r="C82" s="4" t="s">
        <v>44</v>
      </c>
      <c r="D82" s="1" t="s">
        <v>45</v>
      </c>
      <c r="E82" s="1" t="s">
        <v>46</v>
      </c>
      <c r="F82" s="1" t="s">
        <v>47</v>
      </c>
      <c r="G82" s="1" t="s">
        <v>919</v>
      </c>
      <c r="H82" s="1" t="s">
        <v>65</v>
      </c>
      <c r="I82" s="1" t="s">
        <v>49</v>
      </c>
      <c r="J82" s="1">
        <v>20.0</v>
      </c>
      <c r="K82" s="1">
        <v>80.0</v>
      </c>
      <c r="L82" s="1">
        <v>1984.0</v>
      </c>
      <c r="M82" s="1"/>
      <c r="N82" s="1"/>
      <c r="O82" s="1">
        <v>2010.0</v>
      </c>
      <c r="P82" s="1" t="s">
        <v>105</v>
      </c>
      <c r="Q82" s="4" t="s">
        <v>51</v>
      </c>
      <c r="R82" s="1" t="s">
        <v>266</v>
      </c>
      <c r="S82" s="1" t="s">
        <v>270</v>
      </c>
      <c r="T82" s="4" t="s">
        <v>75</v>
      </c>
      <c r="U82" s="1">
        <v>1984.0</v>
      </c>
      <c r="V82" s="1"/>
      <c r="W82" s="1"/>
      <c r="X82" s="4" t="s">
        <v>55</v>
      </c>
      <c r="Y82" s="4" t="s">
        <v>45</v>
      </c>
      <c r="Z82" s="1" t="s">
        <v>47</v>
      </c>
      <c r="AA82" s="1" t="s">
        <v>56</v>
      </c>
      <c r="AB82" s="1" t="s">
        <v>56</v>
      </c>
      <c r="AC82" s="1" t="s">
        <v>58</v>
      </c>
      <c r="AD82" s="1" t="s">
        <v>479</v>
      </c>
      <c r="AE82" s="1" t="s">
        <v>60</v>
      </c>
      <c r="AF82" s="1" t="s">
        <v>60</v>
      </c>
      <c r="AG82" s="4" t="s">
        <v>62</v>
      </c>
      <c r="AH82" s="1">
        <v>5.0</v>
      </c>
      <c r="AI82" s="1">
        <v>5.0</v>
      </c>
      <c r="AJ82" s="1">
        <v>5.0</v>
      </c>
      <c r="AK82" s="1">
        <f t="shared" si="1"/>
        <v>15</v>
      </c>
      <c r="AL82" s="1">
        <v>1.0</v>
      </c>
      <c r="AM82" s="1">
        <v>53.0</v>
      </c>
      <c r="AN82" s="1">
        <f t="shared" si="2"/>
        <v>53</v>
      </c>
      <c r="AO82" s="1">
        <f t="shared" si="4"/>
        <v>0.7688679245</v>
      </c>
      <c r="AP82" s="4" t="s">
        <v>920</v>
      </c>
    </row>
    <row r="83" ht="12.75" customHeight="1">
      <c r="A83" s="1" t="s">
        <v>97</v>
      </c>
      <c r="B83" s="1" t="s">
        <v>978</v>
      </c>
      <c r="C83" s="4" t="s">
        <v>44</v>
      </c>
      <c r="D83" s="1" t="s">
        <v>99</v>
      </c>
      <c r="E83" s="1" t="s">
        <v>100</v>
      </c>
      <c r="F83" s="1" t="s">
        <v>101</v>
      </c>
      <c r="G83" s="1"/>
      <c r="H83" s="1" t="s">
        <v>48</v>
      </c>
      <c r="I83" s="1" t="s">
        <v>103</v>
      </c>
      <c r="J83" s="1">
        <v>21.0</v>
      </c>
      <c r="K83" s="1">
        <v>0.0</v>
      </c>
      <c r="L83" s="1">
        <v>2007.0</v>
      </c>
      <c r="M83" s="1"/>
      <c r="N83" s="1"/>
      <c r="O83" s="1">
        <v>2010.0</v>
      </c>
      <c r="P83" s="1" t="s">
        <v>105</v>
      </c>
      <c r="Q83" s="4" t="s">
        <v>51</v>
      </c>
      <c r="R83" s="1" t="s">
        <v>266</v>
      </c>
      <c r="S83" s="1" t="s">
        <v>53</v>
      </c>
      <c r="T83" s="4" t="s">
        <v>512</v>
      </c>
      <c r="U83" s="1">
        <v>1450.0</v>
      </c>
      <c r="V83" s="1"/>
      <c r="W83" s="1"/>
      <c r="X83" s="4" t="s">
        <v>55</v>
      </c>
      <c r="Y83" s="4" t="s">
        <v>99</v>
      </c>
      <c r="Z83" s="4" t="s">
        <v>108</v>
      </c>
      <c r="AA83" s="1" t="s">
        <v>109</v>
      </c>
      <c r="AB83" s="1" t="s">
        <v>109</v>
      </c>
      <c r="AC83" s="1" t="s">
        <v>110</v>
      </c>
      <c r="AD83" s="1" t="s">
        <v>174</v>
      </c>
      <c r="AE83" s="1" t="s">
        <v>112</v>
      </c>
      <c r="AF83" s="1" t="s">
        <v>113</v>
      </c>
      <c r="AG83" s="4" t="s">
        <v>62</v>
      </c>
      <c r="AH83" s="1">
        <v>7.0</v>
      </c>
      <c r="AI83" s="1">
        <v>6.0</v>
      </c>
      <c r="AJ83" s="1">
        <v>6.0</v>
      </c>
      <c r="AK83" s="1">
        <f t="shared" si="1"/>
        <v>19</v>
      </c>
      <c r="AL83" s="1">
        <v>1.0</v>
      </c>
      <c r="AM83" s="1">
        <v>128.0</v>
      </c>
      <c r="AN83" s="1">
        <f t="shared" si="2"/>
        <v>128</v>
      </c>
      <c r="AO83" s="1">
        <f t="shared" si="4"/>
        <v>0.9578125</v>
      </c>
      <c r="AP83" s="1"/>
    </row>
    <row r="84" ht="12.75" customHeight="1">
      <c r="A84" s="1" t="s">
        <v>992</v>
      </c>
      <c r="B84" s="1" t="s">
        <v>993</v>
      </c>
      <c r="C84" s="4" t="s">
        <v>44</v>
      </c>
      <c r="D84" s="1" t="s">
        <v>45</v>
      </c>
      <c r="E84" s="4" t="s">
        <v>124</v>
      </c>
      <c r="F84" s="1" t="s">
        <v>126</v>
      </c>
      <c r="G84" s="4" t="s">
        <v>996</v>
      </c>
      <c r="H84" s="1" t="s">
        <v>65</v>
      </c>
      <c r="I84" s="1" t="s">
        <v>604</v>
      </c>
      <c r="J84" s="1">
        <v>21.0</v>
      </c>
      <c r="K84" s="1">
        <v>0.0</v>
      </c>
      <c r="L84" s="4">
        <v>2006.0</v>
      </c>
      <c r="M84" s="1"/>
      <c r="N84" s="1"/>
      <c r="O84" s="1">
        <v>2010.0</v>
      </c>
      <c r="P84" s="1" t="s">
        <v>246</v>
      </c>
      <c r="Q84" s="4" t="s">
        <v>51</v>
      </c>
      <c r="R84" s="1" t="s">
        <v>52</v>
      </c>
      <c r="S84" s="1" t="s">
        <v>247</v>
      </c>
      <c r="T84" s="4" t="s">
        <v>106</v>
      </c>
      <c r="U84" s="4">
        <v>2006.0</v>
      </c>
      <c r="V84" s="1"/>
      <c r="W84" s="1"/>
      <c r="X84" s="4" t="s">
        <v>55</v>
      </c>
      <c r="Y84" s="4" t="s">
        <v>45</v>
      </c>
      <c r="Z84" s="1" t="s">
        <v>134</v>
      </c>
      <c r="AA84" s="4" t="s">
        <v>1004</v>
      </c>
      <c r="AB84" s="4" t="s">
        <v>1004</v>
      </c>
      <c r="AC84" s="1" t="s">
        <v>261</v>
      </c>
      <c r="AD84" s="1" t="s">
        <v>1007</v>
      </c>
      <c r="AE84" s="1" t="s">
        <v>1008</v>
      </c>
      <c r="AF84" s="1" t="s">
        <v>60</v>
      </c>
      <c r="AG84" s="4" t="s">
        <v>62</v>
      </c>
      <c r="AH84" s="1">
        <v>6.0</v>
      </c>
      <c r="AI84" s="1">
        <v>6.0</v>
      </c>
      <c r="AJ84" s="1">
        <v>6.0</v>
      </c>
      <c r="AK84" s="1">
        <f t="shared" si="1"/>
        <v>18</v>
      </c>
      <c r="AL84" s="1">
        <v>1.0</v>
      </c>
      <c r="AM84" s="1">
        <v>367.0</v>
      </c>
      <c r="AN84" s="1">
        <f t="shared" si="2"/>
        <v>367</v>
      </c>
      <c r="AO84" s="1">
        <f t="shared" si="4"/>
        <v>0.9027247956</v>
      </c>
      <c r="AP84" s="1"/>
    </row>
    <row r="85" ht="12.75" customHeight="1">
      <c r="A85" s="1" t="s">
        <v>1014</v>
      </c>
      <c r="B85" s="1" t="s">
        <v>1015</v>
      </c>
      <c r="C85" s="4" t="s">
        <v>44</v>
      </c>
      <c r="D85" s="1" t="s">
        <v>99</v>
      </c>
      <c r="E85" s="1" t="s">
        <v>180</v>
      </c>
      <c r="F85" s="1" t="s">
        <v>185</v>
      </c>
      <c r="G85" s="1"/>
      <c r="H85" s="1" t="s">
        <v>65</v>
      </c>
      <c r="I85" s="1" t="s">
        <v>1019</v>
      </c>
      <c r="J85" s="1">
        <v>21.0</v>
      </c>
      <c r="K85" s="1">
        <v>10.0</v>
      </c>
      <c r="L85" s="1">
        <v>2010.0</v>
      </c>
      <c r="M85" s="1"/>
      <c r="N85" s="1"/>
      <c r="O85" s="1">
        <v>2010.0</v>
      </c>
      <c r="P85" s="1" t="s">
        <v>214</v>
      </c>
      <c r="Q85" s="4" t="s">
        <v>51</v>
      </c>
      <c r="R85" s="1" t="s">
        <v>52</v>
      </c>
      <c r="S85" s="4" t="s">
        <v>30</v>
      </c>
      <c r="T85" s="1" t="s">
        <v>60</v>
      </c>
      <c r="U85" s="1">
        <v>2010.0</v>
      </c>
      <c r="V85" s="1"/>
      <c r="W85" s="1"/>
      <c r="X85" s="4" t="s">
        <v>30</v>
      </c>
      <c r="Y85" s="4" t="s">
        <v>30</v>
      </c>
      <c r="Z85" s="4" t="s">
        <v>30</v>
      </c>
      <c r="AA85" s="1" t="s">
        <v>60</v>
      </c>
      <c r="AB85" s="1" t="s">
        <v>1025</v>
      </c>
      <c r="AC85" s="1" t="s">
        <v>261</v>
      </c>
      <c r="AD85" s="1" t="s">
        <v>174</v>
      </c>
      <c r="AE85" s="1" t="s">
        <v>60</v>
      </c>
      <c r="AF85" s="1" t="s">
        <v>60</v>
      </c>
      <c r="AG85" s="4" t="s">
        <v>62</v>
      </c>
      <c r="AH85" s="1">
        <v>7.0</v>
      </c>
      <c r="AI85" s="1">
        <v>7.0</v>
      </c>
      <c r="AJ85" s="1">
        <v>6.0</v>
      </c>
      <c r="AK85" s="1">
        <f t="shared" si="1"/>
        <v>20</v>
      </c>
      <c r="AL85" s="1">
        <v>1.0</v>
      </c>
      <c r="AM85" s="1">
        <v>328.0</v>
      </c>
      <c r="AN85" s="1">
        <f t="shared" si="2"/>
        <v>328</v>
      </c>
      <c r="AO85" s="1">
        <f t="shared" si="4"/>
        <v>1.00304878</v>
      </c>
      <c r="AP85" s="1"/>
    </row>
    <row r="86" ht="12.75" customHeight="1">
      <c r="A86" s="1" t="s">
        <v>1026</v>
      </c>
      <c r="B86" s="1" t="s">
        <v>1027</v>
      </c>
      <c r="C86" s="4" t="s">
        <v>44</v>
      </c>
      <c r="D86" s="1" t="s">
        <v>45</v>
      </c>
      <c r="E86" s="1" t="s">
        <v>46</v>
      </c>
      <c r="F86" s="1" t="s">
        <v>47</v>
      </c>
      <c r="G86" s="1" t="s">
        <v>1027</v>
      </c>
      <c r="H86" s="1" t="s">
        <v>65</v>
      </c>
      <c r="I86" s="1" t="s">
        <v>1029</v>
      </c>
      <c r="J86" s="1">
        <v>21.0</v>
      </c>
      <c r="K86" s="1">
        <v>10.0</v>
      </c>
      <c r="L86" s="1">
        <v>2011.0</v>
      </c>
      <c r="M86" s="1"/>
      <c r="N86" s="1"/>
      <c r="O86" s="1">
        <v>2010.0</v>
      </c>
      <c r="P86" s="1" t="s">
        <v>214</v>
      </c>
      <c r="Q86" s="4" t="s">
        <v>51</v>
      </c>
      <c r="R86" s="1" t="s">
        <v>136</v>
      </c>
      <c r="S86" s="1" t="s">
        <v>136</v>
      </c>
      <c r="T86" s="4" t="s">
        <v>91</v>
      </c>
      <c r="U86" s="1">
        <v>1990.0</v>
      </c>
      <c r="V86" s="1"/>
      <c r="W86" s="1"/>
      <c r="X86" s="4" t="s">
        <v>55</v>
      </c>
      <c r="Y86" s="4" t="s">
        <v>45</v>
      </c>
      <c r="Z86" s="1" t="s">
        <v>47</v>
      </c>
      <c r="AA86" s="1" t="s">
        <v>226</v>
      </c>
      <c r="AB86" s="4" t="s">
        <v>1030</v>
      </c>
      <c r="AC86" s="4" t="s">
        <v>561</v>
      </c>
      <c r="AD86" s="1" t="s">
        <v>498</v>
      </c>
      <c r="AE86" s="1" t="s">
        <v>60</v>
      </c>
      <c r="AF86" s="1" t="s">
        <v>60</v>
      </c>
      <c r="AG86" s="4" t="s">
        <v>62</v>
      </c>
      <c r="AH86" s="1">
        <v>7.0</v>
      </c>
      <c r="AI86" s="1">
        <v>7.0</v>
      </c>
      <c r="AJ86" s="1">
        <v>7.0</v>
      </c>
      <c r="AK86" s="1">
        <f t="shared" si="1"/>
        <v>21</v>
      </c>
      <c r="AL86" s="1">
        <v>1.0</v>
      </c>
      <c r="AM86" s="1">
        <v>392.0</v>
      </c>
      <c r="AN86" s="1">
        <f t="shared" si="2"/>
        <v>392</v>
      </c>
      <c r="AO86" s="1">
        <f t="shared" si="4"/>
        <v>1.05255102</v>
      </c>
      <c r="AP86" s="1"/>
    </row>
    <row r="87" ht="12.75" customHeight="1">
      <c r="A87" s="1" t="s">
        <v>1031</v>
      </c>
      <c r="B87" s="1" t="s">
        <v>1032</v>
      </c>
      <c r="C87" s="4" t="s">
        <v>44</v>
      </c>
      <c r="D87" s="1" t="s">
        <v>99</v>
      </c>
      <c r="E87" s="1" t="s">
        <v>100</v>
      </c>
      <c r="F87" s="1" t="s">
        <v>101</v>
      </c>
      <c r="G87" s="1"/>
      <c r="H87" s="1" t="s">
        <v>48</v>
      </c>
      <c r="I87" s="1" t="s">
        <v>612</v>
      </c>
      <c r="J87" s="1">
        <v>19.0</v>
      </c>
      <c r="K87" s="1">
        <v>10.0</v>
      </c>
      <c r="L87" s="1">
        <v>1818.0</v>
      </c>
      <c r="M87" s="4">
        <v>16.0</v>
      </c>
      <c r="N87" s="4">
        <v>4.0</v>
      </c>
      <c r="O87" s="1">
        <v>2011.0</v>
      </c>
      <c r="P87" s="1" t="s">
        <v>554</v>
      </c>
      <c r="Q87" s="4" t="s">
        <v>51</v>
      </c>
      <c r="R87" s="1" t="s">
        <v>52</v>
      </c>
      <c r="S87" s="1" t="s">
        <v>224</v>
      </c>
      <c r="T87" s="4" t="s">
        <v>1034</v>
      </c>
      <c r="U87" s="1">
        <v>1818.0</v>
      </c>
      <c r="V87" s="1"/>
      <c r="W87" s="1"/>
      <c r="X87" s="4" t="s">
        <v>55</v>
      </c>
      <c r="Y87" s="4" t="s">
        <v>99</v>
      </c>
      <c r="Z87" s="4" t="s">
        <v>101</v>
      </c>
      <c r="AA87" s="1" t="s">
        <v>1036</v>
      </c>
      <c r="AB87" s="1" t="s">
        <v>1036</v>
      </c>
      <c r="AC87" s="4" t="s">
        <v>1037</v>
      </c>
      <c r="AD87" s="1" t="s">
        <v>252</v>
      </c>
      <c r="AE87" s="1" t="s">
        <v>491</v>
      </c>
      <c r="AF87" s="1" t="s">
        <v>60</v>
      </c>
      <c r="AG87" s="4" t="s">
        <v>62</v>
      </c>
      <c r="AH87" s="1">
        <v>6.0</v>
      </c>
      <c r="AI87" s="1">
        <v>7.0</v>
      </c>
      <c r="AJ87" s="1">
        <v>7.0</v>
      </c>
      <c r="AK87" s="1">
        <f t="shared" si="1"/>
        <v>20</v>
      </c>
      <c r="AL87" s="1">
        <v>1.0</v>
      </c>
      <c r="AM87" s="1">
        <v>221.0</v>
      </c>
      <c r="AN87" s="1">
        <f t="shared" si="2"/>
        <v>221</v>
      </c>
      <c r="AO87" s="1">
        <f t="shared" si="4"/>
        <v>1.004524887</v>
      </c>
      <c r="AP87" s="4" t="s">
        <v>1043</v>
      </c>
    </row>
    <row r="88" ht="12.75" customHeight="1">
      <c r="A88" s="4" t="s">
        <v>933</v>
      </c>
      <c r="B88" s="4" t="s">
        <v>934</v>
      </c>
      <c r="C88" s="4" t="s">
        <v>44</v>
      </c>
      <c r="D88" s="4" t="s">
        <v>45</v>
      </c>
      <c r="E88" s="4" t="s">
        <v>124</v>
      </c>
      <c r="F88" s="4" t="s">
        <v>126</v>
      </c>
      <c r="G88" s="1"/>
      <c r="H88" s="4" t="s">
        <v>65</v>
      </c>
      <c r="I88" s="4" t="s">
        <v>103</v>
      </c>
      <c r="J88" s="4">
        <v>21.0</v>
      </c>
      <c r="K88" s="4">
        <v>0.0</v>
      </c>
      <c r="L88" s="4">
        <v>2004.0</v>
      </c>
      <c r="M88" s="4">
        <v>16.0</v>
      </c>
      <c r="N88" s="4">
        <v>5.0</v>
      </c>
      <c r="O88" s="4">
        <v>2011.0</v>
      </c>
      <c r="P88" s="4" t="s">
        <v>214</v>
      </c>
      <c r="Q88" s="4" t="s">
        <v>51</v>
      </c>
      <c r="R88" s="4" t="s">
        <v>253</v>
      </c>
      <c r="S88" s="4" t="s">
        <v>217</v>
      </c>
      <c r="T88" s="4" t="s">
        <v>106</v>
      </c>
      <c r="U88" s="4">
        <v>2011.0</v>
      </c>
      <c r="V88" s="1"/>
      <c r="W88" s="1"/>
      <c r="X88" s="4" t="s">
        <v>139</v>
      </c>
      <c r="Y88" s="4" t="s">
        <v>139</v>
      </c>
      <c r="Z88" s="4" t="s">
        <v>139</v>
      </c>
      <c r="AA88" s="4" t="s">
        <v>139</v>
      </c>
      <c r="AB88" s="4" t="s">
        <v>139</v>
      </c>
      <c r="AC88" s="4" t="s">
        <v>1056</v>
      </c>
      <c r="AD88" s="11" t="s">
        <v>60</v>
      </c>
      <c r="AE88" s="11" t="s">
        <v>60</v>
      </c>
      <c r="AF88" s="11" t="s">
        <v>60</v>
      </c>
      <c r="AG88" s="4" t="s">
        <v>62</v>
      </c>
      <c r="AH88" s="4">
        <v>7.0</v>
      </c>
      <c r="AI88" s="4">
        <v>6.0</v>
      </c>
      <c r="AJ88" s="4">
        <v>6.0</v>
      </c>
      <c r="AK88" s="1">
        <f t="shared" si="1"/>
        <v>19</v>
      </c>
      <c r="AL88" s="1">
        <v>1.0</v>
      </c>
      <c r="AM88" s="4">
        <v>223.0</v>
      </c>
      <c r="AN88" s="1">
        <f t="shared" si="2"/>
        <v>223</v>
      </c>
      <c r="AO88" s="1">
        <f t="shared" si="4"/>
        <v>0.9544843049</v>
      </c>
      <c r="AP88" s="4" t="s">
        <v>935</v>
      </c>
    </row>
    <row r="89" ht="12.75" customHeight="1">
      <c r="A89" s="4" t="s">
        <v>618</v>
      </c>
      <c r="B89" s="4" t="s">
        <v>716</v>
      </c>
      <c r="C89" s="4" t="s">
        <v>44</v>
      </c>
      <c r="D89" s="4" t="s">
        <v>45</v>
      </c>
      <c r="E89" s="8" t="s">
        <v>46</v>
      </c>
      <c r="F89" s="8" t="s">
        <v>47</v>
      </c>
      <c r="G89" s="1"/>
      <c r="H89" s="4" t="s">
        <v>65</v>
      </c>
      <c r="I89" s="4" t="s">
        <v>620</v>
      </c>
      <c r="J89" s="4">
        <v>21.0</v>
      </c>
      <c r="K89" s="4">
        <v>0.0</v>
      </c>
      <c r="L89" s="4">
        <v>2008.0</v>
      </c>
      <c r="M89" s="4">
        <v>16.0</v>
      </c>
      <c r="N89" s="4">
        <v>5.0</v>
      </c>
      <c r="O89" s="4">
        <v>2011.0</v>
      </c>
      <c r="P89" s="4" t="s">
        <v>214</v>
      </c>
      <c r="Q89" s="4" t="s">
        <v>51</v>
      </c>
      <c r="R89" s="4" t="s">
        <v>232</v>
      </c>
      <c r="S89" s="4" t="s">
        <v>234</v>
      </c>
      <c r="T89" s="4" t="s">
        <v>106</v>
      </c>
      <c r="U89" s="4">
        <v>2011.0</v>
      </c>
      <c r="V89" s="1"/>
      <c r="W89" s="1"/>
      <c r="X89" s="4" t="s">
        <v>139</v>
      </c>
      <c r="Y89" s="4" t="s">
        <v>139</v>
      </c>
      <c r="Z89" s="4" t="s">
        <v>139</v>
      </c>
      <c r="AA89" s="4" t="s">
        <v>139</v>
      </c>
      <c r="AB89" s="4" t="s">
        <v>139</v>
      </c>
      <c r="AC89" s="4" t="s">
        <v>69</v>
      </c>
      <c r="AD89" s="11" t="s">
        <v>60</v>
      </c>
      <c r="AE89" s="11" t="s">
        <v>60</v>
      </c>
      <c r="AF89" s="11" t="s">
        <v>60</v>
      </c>
      <c r="AG89" s="4" t="s">
        <v>62</v>
      </c>
      <c r="AH89" s="4">
        <v>7.0</v>
      </c>
      <c r="AI89" s="4">
        <v>6.0</v>
      </c>
      <c r="AJ89" s="4">
        <v>6.0</v>
      </c>
      <c r="AK89" s="1">
        <f t="shared" si="1"/>
        <v>19</v>
      </c>
      <c r="AL89" s="1">
        <v>1.0</v>
      </c>
      <c r="AM89" s="4">
        <v>256.0</v>
      </c>
      <c r="AN89" s="1">
        <f t="shared" si="2"/>
        <v>256</v>
      </c>
      <c r="AO89" s="1">
        <f t="shared" si="4"/>
        <v>0.95390625</v>
      </c>
      <c r="AP89" s="4" t="s">
        <v>717</v>
      </c>
    </row>
    <row r="90" ht="12.75" customHeight="1">
      <c r="A90" s="4" t="s">
        <v>1082</v>
      </c>
      <c r="B90" s="4" t="s">
        <v>1084</v>
      </c>
      <c r="C90" s="4" t="s">
        <v>44</v>
      </c>
      <c r="D90" s="4" t="s">
        <v>45</v>
      </c>
      <c r="E90" s="4" t="s">
        <v>124</v>
      </c>
      <c r="F90" s="4" t="s">
        <v>126</v>
      </c>
      <c r="G90" s="1"/>
      <c r="H90" s="4" t="s">
        <v>65</v>
      </c>
      <c r="I90" s="4" t="s">
        <v>1085</v>
      </c>
      <c r="J90" s="4">
        <v>21.0</v>
      </c>
      <c r="K90" s="4">
        <v>10.0</v>
      </c>
      <c r="L90" s="4">
        <v>2010.0</v>
      </c>
      <c r="M90" s="4">
        <v>26.0</v>
      </c>
      <c r="N90" s="4">
        <v>5.0</v>
      </c>
      <c r="O90" s="4">
        <v>2011.0</v>
      </c>
      <c r="P90" s="4" t="s">
        <v>214</v>
      </c>
      <c r="Q90" s="4" t="s">
        <v>51</v>
      </c>
      <c r="R90" s="4" t="s">
        <v>285</v>
      </c>
      <c r="S90" s="4" t="s">
        <v>285</v>
      </c>
      <c r="T90" s="4" t="s">
        <v>91</v>
      </c>
      <c r="U90" s="4">
        <v>2011.0</v>
      </c>
      <c r="V90" s="1"/>
      <c r="W90" s="1"/>
      <c r="X90" s="4" t="s">
        <v>139</v>
      </c>
      <c r="Y90" s="4" t="s">
        <v>139</v>
      </c>
      <c r="Z90" s="4" t="s">
        <v>139</v>
      </c>
      <c r="AA90" s="4" t="s">
        <v>139</v>
      </c>
      <c r="AB90" s="4" t="s">
        <v>139</v>
      </c>
      <c r="AC90" s="4" t="s">
        <v>1089</v>
      </c>
      <c r="AD90" s="11" t="s">
        <v>60</v>
      </c>
      <c r="AE90" s="11" t="s">
        <v>60</v>
      </c>
      <c r="AF90" s="11" t="s">
        <v>60</v>
      </c>
      <c r="AG90" s="4" t="s">
        <v>62</v>
      </c>
      <c r="AH90" s="4">
        <v>7.0</v>
      </c>
      <c r="AI90" s="4">
        <v>6.0</v>
      </c>
      <c r="AJ90" s="4">
        <v>6.0</v>
      </c>
      <c r="AK90" s="1">
        <f t="shared" si="1"/>
        <v>19</v>
      </c>
      <c r="AL90" s="1">
        <v>1.0</v>
      </c>
      <c r="AM90" s="4">
        <v>232.0</v>
      </c>
      <c r="AN90" s="1">
        <f t="shared" si="2"/>
        <v>232</v>
      </c>
      <c r="AO90" s="1">
        <f t="shared" si="4"/>
        <v>0.9543103448</v>
      </c>
      <c r="AP90" s="4" t="s">
        <v>1096</v>
      </c>
    </row>
    <row r="91" ht="12.75" customHeight="1">
      <c r="A91" s="4" t="s">
        <v>1086</v>
      </c>
      <c r="B91" s="4" t="s">
        <v>1087</v>
      </c>
      <c r="C91" s="4" t="s">
        <v>44</v>
      </c>
      <c r="D91" s="4" t="s">
        <v>45</v>
      </c>
      <c r="E91" s="8" t="s">
        <v>46</v>
      </c>
      <c r="F91" s="8" t="s">
        <v>47</v>
      </c>
      <c r="G91" s="1"/>
      <c r="H91" s="4" t="s">
        <v>65</v>
      </c>
      <c r="I91" s="4" t="s">
        <v>1101</v>
      </c>
      <c r="J91" s="4">
        <v>21.0</v>
      </c>
      <c r="K91" s="4">
        <v>10.0</v>
      </c>
      <c r="L91" s="4">
        <v>2010.0</v>
      </c>
      <c r="M91" s="4">
        <v>17.0</v>
      </c>
      <c r="N91" s="4">
        <v>7.0</v>
      </c>
      <c r="O91" s="4">
        <v>2011.0</v>
      </c>
      <c r="P91" s="4" t="s">
        <v>214</v>
      </c>
      <c r="Q91" s="4" t="s">
        <v>51</v>
      </c>
      <c r="R91" s="4" t="s">
        <v>253</v>
      </c>
      <c r="S91" s="4" t="s">
        <v>254</v>
      </c>
      <c r="T91" s="4" t="s">
        <v>106</v>
      </c>
      <c r="U91" s="4">
        <v>2011.0</v>
      </c>
      <c r="V91" s="1"/>
      <c r="W91" s="1"/>
      <c r="X91" s="4" t="s">
        <v>190</v>
      </c>
      <c r="Y91" s="4" t="s">
        <v>190</v>
      </c>
      <c r="Z91" s="4" t="s">
        <v>190</v>
      </c>
      <c r="AA91" s="4" t="s">
        <v>190</v>
      </c>
      <c r="AB91" s="4" t="s">
        <v>190</v>
      </c>
      <c r="AC91" s="4" t="s">
        <v>1089</v>
      </c>
      <c r="AD91" s="11" t="s">
        <v>60</v>
      </c>
      <c r="AE91" s="11" t="s">
        <v>60</v>
      </c>
      <c r="AF91" s="11" t="s">
        <v>60</v>
      </c>
      <c r="AG91" s="4" t="s">
        <v>62</v>
      </c>
      <c r="AH91" s="4">
        <v>7.0</v>
      </c>
      <c r="AI91" s="4">
        <v>6.0</v>
      </c>
      <c r="AJ91" s="4">
        <v>6.0</v>
      </c>
      <c r="AK91" s="1">
        <f t="shared" si="1"/>
        <v>19</v>
      </c>
      <c r="AL91" s="1">
        <v>1.0</v>
      </c>
      <c r="AM91" s="4">
        <v>106.0</v>
      </c>
      <c r="AN91" s="1">
        <f t="shared" si="2"/>
        <v>106</v>
      </c>
      <c r="AO91" s="1">
        <f t="shared" si="4"/>
        <v>0.9594339623</v>
      </c>
      <c r="AP91" s="4" t="s">
        <v>1088</v>
      </c>
    </row>
    <row r="92" ht="12.75" customHeight="1">
      <c r="A92" s="12" t="s">
        <v>1111</v>
      </c>
      <c r="B92" s="4">
        <v>1808.0</v>
      </c>
      <c r="C92" s="4" t="s">
        <v>44</v>
      </c>
      <c r="D92" s="4" t="s">
        <v>45</v>
      </c>
      <c r="E92" s="8" t="s">
        <v>46</v>
      </c>
      <c r="F92" s="8" t="s">
        <v>47</v>
      </c>
      <c r="G92" s="1"/>
      <c r="H92" s="4" t="s">
        <v>65</v>
      </c>
      <c r="I92" s="4" t="s">
        <v>620</v>
      </c>
      <c r="J92" s="4">
        <v>21.0</v>
      </c>
      <c r="K92" s="4">
        <v>0.0</v>
      </c>
      <c r="L92" s="4">
        <v>2007.0</v>
      </c>
      <c r="M92" s="4">
        <v>23.0</v>
      </c>
      <c r="N92" s="4">
        <v>8.0</v>
      </c>
      <c r="O92" s="4">
        <v>2011.0</v>
      </c>
      <c r="P92" s="4" t="s">
        <v>214</v>
      </c>
      <c r="Q92" s="4" t="s">
        <v>51</v>
      </c>
      <c r="R92" s="4" t="s">
        <v>253</v>
      </c>
      <c r="S92" s="4" t="s">
        <v>217</v>
      </c>
      <c r="T92" s="4" t="s">
        <v>410</v>
      </c>
      <c r="U92" s="4">
        <v>1808.0</v>
      </c>
      <c r="V92" s="1"/>
      <c r="W92" s="1"/>
      <c r="X92" s="4" t="s">
        <v>55</v>
      </c>
      <c r="Y92" s="4" t="s">
        <v>45</v>
      </c>
      <c r="Z92" s="4" t="s">
        <v>47</v>
      </c>
      <c r="AA92" s="4" t="s">
        <v>226</v>
      </c>
      <c r="AB92" s="4" t="s">
        <v>403</v>
      </c>
      <c r="AC92" s="4" t="s">
        <v>1113</v>
      </c>
      <c r="AD92" s="11" t="s">
        <v>60</v>
      </c>
      <c r="AE92" s="11" t="s">
        <v>60</v>
      </c>
      <c r="AF92" s="11" t="s">
        <v>60</v>
      </c>
      <c r="AG92" s="4" t="s">
        <v>62</v>
      </c>
      <c r="AH92" s="4">
        <v>7.0</v>
      </c>
      <c r="AI92" s="4">
        <v>6.0</v>
      </c>
      <c r="AJ92" s="4">
        <v>6.0</v>
      </c>
      <c r="AK92" s="1">
        <f t="shared" si="1"/>
        <v>19</v>
      </c>
      <c r="AL92" s="1">
        <v>1.0</v>
      </c>
      <c r="AM92" s="4">
        <v>384.0</v>
      </c>
      <c r="AN92" s="1">
        <f t="shared" si="2"/>
        <v>384</v>
      </c>
      <c r="AO92" s="1">
        <f t="shared" si="4"/>
        <v>0.9526041667</v>
      </c>
      <c r="AP92" s="4" t="s">
        <v>1117</v>
      </c>
    </row>
    <row r="93" ht="12.75" customHeight="1">
      <c r="A93" s="4" t="s">
        <v>685</v>
      </c>
      <c r="B93" s="4" t="s">
        <v>686</v>
      </c>
      <c r="C93" s="4" t="s">
        <v>44</v>
      </c>
      <c r="D93" s="4" t="s">
        <v>45</v>
      </c>
      <c r="E93" s="8" t="s">
        <v>46</v>
      </c>
      <c r="F93" s="8" t="s">
        <v>47</v>
      </c>
      <c r="G93" s="1"/>
      <c r="H93" s="4" t="s">
        <v>48</v>
      </c>
      <c r="I93" s="4" t="s">
        <v>1121</v>
      </c>
      <c r="J93" s="4">
        <v>21.0</v>
      </c>
      <c r="K93" s="4">
        <v>0.0</v>
      </c>
      <c r="L93" s="4">
        <v>2008.0</v>
      </c>
      <c r="M93" s="4">
        <v>17.0</v>
      </c>
      <c r="N93" s="4">
        <v>11.0</v>
      </c>
      <c r="O93" s="4">
        <v>2011.0</v>
      </c>
      <c r="P93" s="4" t="s">
        <v>214</v>
      </c>
      <c r="Q93" s="4" t="s">
        <v>51</v>
      </c>
      <c r="R93" s="4" t="s">
        <v>253</v>
      </c>
      <c r="S93" s="4" t="s">
        <v>264</v>
      </c>
      <c r="T93" s="4" t="s">
        <v>91</v>
      </c>
      <c r="U93" s="4">
        <v>2011.0</v>
      </c>
      <c r="V93" s="1"/>
      <c r="W93" s="1"/>
      <c r="X93" s="4" t="s">
        <v>55</v>
      </c>
      <c r="Y93" s="4" t="s">
        <v>45</v>
      </c>
      <c r="Z93" s="8" t="s">
        <v>47</v>
      </c>
      <c r="AA93" s="8" t="s">
        <v>47</v>
      </c>
      <c r="AB93" s="8" t="s">
        <v>47</v>
      </c>
      <c r="AC93" s="4" t="s">
        <v>561</v>
      </c>
      <c r="AD93" s="11" t="s">
        <v>60</v>
      </c>
      <c r="AE93" s="11" t="s">
        <v>60</v>
      </c>
      <c r="AF93" s="11" t="s">
        <v>60</v>
      </c>
      <c r="AG93" s="4" t="s">
        <v>62</v>
      </c>
      <c r="AH93" s="4">
        <v>7.0</v>
      </c>
      <c r="AI93" s="4">
        <v>6.0</v>
      </c>
      <c r="AJ93" s="4">
        <v>6.0</v>
      </c>
      <c r="AK93" s="1">
        <f t="shared" si="1"/>
        <v>19</v>
      </c>
      <c r="AL93" s="1">
        <v>1.0</v>
      </c>
      <c r="AM93" s="4">
        <v>210.0</v>
      </c>
      <c r="AN93" s="1">
        <f t="shared" si="2"/>
        <v>210</v>
      </c>
      <c r="AO93" s="1">
        <f t="shared" si="4"/>
        <v>0.9547619048</v>
      </c>
      <c r="AP93" s="4" t="s">
        <v>687</v>
      </c>
    </row>
    <row r="94" ht="12.75" customHeight="1">
      <c r="A94" s="1" t="s">
        <v>1138</v>
      </c>
      <c r="B94" s="1" t="s">
        <v>1140</v>
      </c>
      <c r="C94" s="4" t="s">
        <v>44</v>
      </c>
      <c r="D94" s="1" t="s">
        <v>45</v>
      </c>
      <c r="E94" s="4" t="s">
        <v>124</v>
      </c>
      <c r="F94" s="1" t="s">
        <v>126</v>
      </c>
      <c r="G94" s="1"/>
      <c r="H94" s="1" t="s">
        <v>65</v>
      </c>
      <c r="I94" s="1" t="s">
        <v>428</v>
      </c>
      <c r="J94" s="1">
        <v>20.0</v>
      </c>
      <c r="K94" s="1">
        <v>70.0</v>
      </c>
      <c r="L94" s="1">
        <v>1970.0</v>
      </c>
      <c r="M94" s="1"/>
      <c r="N94" s="1"/>
      <c r="O94" s="1">
        <v>2011.0</v>
      </c>
      <c r="P94" s="1" t="s">
        <v>554</v>
      </c>
      <c r="Q94" s="4" t="s">
        <v>51</v>
      </c>
      <c r="R94" s="1" t="s">
        <v>52</v>
      </c>
      <c r="S94" s="1" t="s">
        <v>270</v>
      </c>
      <c r="T94" s="4" t="s">
        <v>526</v>
      </c>
      <c r="U94" s="1">
        <v>1970.0</v>
      </c>
      <c r="V94" s="1"/>
      <c r="W94" s="1"/>
      <c r="X94" s="4" t="s">
        <v>55</v>
      </c>
      <c r="Y94" s="4" t="s">
        <v>45</v>
      </c>
      <c r="Z94" s="1" t="s">
        <v>126</v>
      </c>
      <c r="AA94" s="1" t="s">
        <v>739</v>
      </c>
      <c r="AB94" s="1" t="s">
        <v>739</v>
      </c>
      <c r="AC94" s="1" t="s">
        <v>58</v>
      </c>
      <c r="AD94" s="1" t="s">
        <v>550</v>
      </c>
      <c r="AE94" s="1" t="s">
        <v>60</v>
      </c>
      <c r="AF94" s="1" t="s">
        <v>60</v>
      </c>
      <c r="AG94" s="4" t="s">
        <v>62</v>
      </c>
      <c r="AH94" s="1">
        <v>5.0</v>
      </c>
      <c r="AI94" s="1">
        <v>5.0</v>
      </c>
      <c r="AJ94" s="1">
        <v>5.0</v>
      </c>
      <c r="AK94" s="1">
        <f t="shared" si="1"/>
        <v>15</v>
      </c>
      <c r="AL94" s="1">
        <v>1.0</v>
      </c>
      <c r="AM94" s="1">
        <v>265.0</v>
      </c>
      <c r="AN94" s="1">
        <f t="shared" si="2"/>
        <v>265</v>
      </c>
      <c r="AO94" s="1">
        <f t="shared" si="4"/>
        <v>0.7537735849</v>
      </c>
      <c r="AP94" s="4" t="s">
        <v>1157</v>
      </c>
    </row>
    <row r="95" ht="12.75" customHeight="1">
      <c r="A95" s="1" t="s">
        <v>163</v>
      </c>
      <c r="B95" s="1" t="s">
        <v>1033</v>
      </c>
      <c r="C95" s="4" t="s">
        <v>44</v>
      </c>
      <c r="D95" s="1" t="s">
        <v>99</v>
      </c>
      <c r="E95" s="1" t="s">
        <v>100</v>
      </c>
      <c r="F95" s="1" t="s">
        <v>101</v>
      </c>
      <c r="G95" s="1"/>
      <c r="H95" s="1" t="s">
        <v>65</v>
      </c>
      <c r="I95" s="1" t="s">
        <v>166</v>
      </c>
      <c r="J95" s="1">
        <v>20.0</v>
      </c>
      <c r="K95" s="1">
        <v>80.0</v>
      </c>
      <c r="L95" s="1">
        <v>1980.0</v>
      </c>
      <c r="M95" s="1"/>
      <c r="N95" s="1"/>
      <c r="O95" s="1">
        <v>2011.0</v>
      </c>
      <c r="P95" s="1" t="s">
        <v>246</v>
      </c>
      <c r="Q95" s="4" t="s">
        <v>51</v>
      </c>
      <c r="R95" s="1" t="s">
        <v>266</v>
      </c>
      <c r="S95" s="1" t="s">
        <v>30</v>
      </c>
      <c r="T95" s="1" t="s">
        <v>60</v>
      </c>
      <c r="U95" s="4">
        <v>472.0</v>
      </c>
      <c r="V95" s="1"/>
      <c r="W95" s="1"/>
      <c r="X95" s="4" t="s">
        <v>30</v>
      </c>
      <c r="Y95" s="4" t="s">
        <v>30</v>
      </c>
      <c r="Z95" s="4" t="s">
        <v>170</v>
      </c>
      <c r="AA95" s="1" t="s">
        <v>171</v>
      </c>
      <c r="AB95" s="1" t="s">
        <v>171</v>
      </c>
      <c r="AC95" s="1" t="s">
        <v>172</v>
      </c>
      <c r="AD95" s="1" t="s">
        <v>174</v>
      </c>
      <c r="AE95" s="1" t="s">
        <v>112</v>
      </c>
      <c r="AF95" s="1" t="s">
        <v>60</v>
      </c>
      <c r="AG95" s="4" t="s">
        <v>62</v>
      </c>
      <c r="AH95" s="1">
        <v>8.0</v>
      </c>
      <c r="AI95" s="1">
        <v>8.0</v>
      </c>
      <c r="AJ95" s="1">
        <v>7.0</v>
      </c>
      <c r="AK95" s="1">
        <f t="shared" si="1"/>
        <v>23</v>
      </c>
      <c r="AL95" s="1">
        <v>1.0</v>
      </c>
      <c r="AM95" s="1">
        <v>592.0</v>
      </c>
      <c r="AN95" s="1">
        <f t="shared" si="2"/>
        <v>592</v>
      </c>
      <c r="AO95" s="1">
        <f t="shared" si="4"/>
        <v>1.151689189</v>
      </c>
      <c r="AP95" s="4" t="s">
        <v>1035</v>
      </c>
    </row>
    <row r="96" ht="12.75" customHeight="1">
      <c r="A96" s="1" t="s">
        <v>951</v>
      </c>
      <c r="B96" s="1" t="s">
        <v>952</v>
      </c>
      <c r="C96" s="4" t="s">
        <v>44</v>
      </c>
      <c r="D96" s="1" t="s">
        <v>45</v>
      </c>
      <c r="E96" s="1" t="s">
        <v>46</v>
      </c>
      <c r="F96" s="1" t="s">
        <v>133</v>
      </c>
      <c r="G96" s="1"/>
      <c r="H96" s="1" t="s">
        <v>65</v>
      </c>
      <c r="I96" s="1" t="s">
        <v>428</v>
      </c>
      <c r="J96" s="1">
        <v>20.0</v>
      </c>
      <c r="K96" s="1">
        <v>80.0</v>
      </c>
      <c r="L96" s="1">
        <v>1985.0</v>
      </c>
      <c r="M96" s="1"/>
      <c r="N96" s="1"/>
      <c r="O96" s="1">
        <v>2011.0</v>
      </c>
      <c r="P96" s="1" t="s">
        <v>554</v>
      </c>
      <c r="Q96" s="4" t="s">
        <v>51</v>
      </c>
      <c r="R96" s="1" t="s">
        <v>52</v>
      </c>
      <c r="S96" s="1" t="s">
        <v>298</v>
      </c>
      <c r="T96" s="4" t="s">
        <v>1175</v>
      </c>
      <c r="U96" s="1">
        <v>1900.0</v>
      </c>
      <c r="V96" s="1"/>
      <c r="W96" s="1"/>
      <c r="X96" s="4" t="s">
        <v>55</v>
      </c>
      <c r="Y96" s="4" t="s">
        <v>45</v>
      </c>
      <c r="Z96" s="1" t="s">
        <v>133</v>
      </c>
      <c r="AA96" s="4" t="s">
        <v>1179</v>
      </c>
      <c r="AB96" s="4" t="s">
        <v>1179</v>
      </c>
      <c r="AC96" s="1" t="s">
        <v>58</v>
      </c>
      <c r="AD96" s="1" t="s">
        <v>142</v>
      </c>
      <c r="AE96" s="1" t="s">
        <v>60</v>
      </c>
      <c r="AF96" s="1" t="s">
        <v>60</v>
      </c>
      <c r="AG96" s="4" t="s">
        <v>62</v>
      </c>
      <c r="AH96" s="1">
        <v>8.0</v>
      </c>
      <c r="AI96" s="1">
        <v>7.0</v>
      </c>
      <c r="AJ96" s="1">
        <v>7.0</v>
      </c>
      <c r="AK96" s="1">
        <f t="shared" si="1"/>
        <v>22</v>
      </c>
      <c r="AL96" s="1">
        <v>1.0</v>
      </c>
      <c r="AM96" s="1">
        <v>432.0</v>
      </c>
      <c r="AN96" s="1">
        <f t="shared" si="2"/>
        <v>432</v>
      </c>
      <c r="AO96" s="1">
        <f t="shared" si="4"/>
        <v>1.102314815</v>
      </c>
      <c r="AP96" s="1"/>
    </row>
    <row r="97" ht="12.75" customHeight="1">
      <c r="A97" s="1" t="s">
        <v>1123</v>
      </c>
      <c r="B97" s="1" t="s">
        <v>1124</v>
      </c>
      <c r="C97" s="4" t="s">
        <v>44</v>
      </c>
      <c r="D97" s="1" t="s">
        <v>99</v>
      </c>
      <c r="E97" s="1" t="s">
        <v>199</v>
      </c>
      <c r="F97" s="1" t="s">
        <v>200</v>
      </c>
      <c r="G97" s="1"/>
      <c r="H97" s="1" t="s">
        <v>65</v>
      </c>
      <c r="I97" s="1" t="s">
        <v>421</v>
      </c>
      <c r="J97" s="1">
        <v>20.0</v>
      </c>
      <c r="K97" s="1">
        <v>90.0</v>
      </c>
      <c r="L97" s="1">
        <v>1991.0</v>
      </c>
      <c r="M97" s="1"/>
      <c r="N97" s="1"/>
      <c r="O97" s="1">
        <v>2011.0</v>
      </c>
      <c r="P97" s="1" t="s">
        <v>214</v>
      </c>
      <c r="Q97" s="4" t="s">
        <v>51</v>
      </c>
      <c r="R97" s="1" t="s">
        <v>52</v>
      </c>
      <c r="S97" s="1" t="s">
        <v>106</v>
      </c>
      <c r="T97" s="4" t="s">
        <v>106</v>
      </c>
      <c r="U97" s="1">
        <v>1991.0</v>
      </c>
      <c r="V97" s="1"/>
      <c r="W97" s="1"/>
      <c r="X97" s="4" t="s">
        <v>55</v>
      </c>
      <c r="Y97" s="4" t="s">
        <v>99</v>
      </c>
      <c r="Z97" s="1" t="s">
        <v>200</v>
      </c>
      <c r="AA97" s="1" t="s">
        <v>200</v>
      </c>
      <c r="AB97" s="1" t="s">
        <v>200</v>
      </c>
      <c r="AC97" s="1" t="s">
        <v>69</v>
      </c>
      <c r="AD97" s="1" t="s">
        <v>304</v>
      </c>
      <c r="AE97" s="1" t="s">
        <v>60</v>
      </c>
      <c r="AF97" s="1" t="s">
        <v>60</v>
      </c>
      <c r="AG97" s="4" t="s">
        <v>62</v>
      </c>
      <c r="AH97" s="1">
        <v>7.0</v>
      </c>
      <c r="AI97" s="1">
        <v>7.0</v>
      </c>
      <c r="AJ97" s="1">
        <v>7.0</v>
      </c>
      <c r="AK97" s="1">
        <f t="shared" si="1"/>
        <v>21</v>
      </c>
      <c r="AL97" s="1">
        <v>1.0</v>
      </c>
      <c r="AM97" s="1">
        <v>560.0</v>
      </c>
      <c r="AN97" s="1">
        <f t="shared" si="2"/>
        <v>560</v>
      </c>
      <c r="AO97" s="1">
        <f t="shared" si="4"/>
        <v>1.051785714</v>
      </c>
      <c r="AP97" s="4" t="s">
        <v>1125</v>
      </c>
    </row>
    <row r="98" ht="12.75" customHeight="1">
      <c r="A98" s="1" t="s">
        <v>563</v>
      </c>
      <c r="B98" s="1" t="s">
        <v>1115</v>
      </c>
      <c r="C98" s="4" t="s">
        <v>44</v>
      </c>
      <c r="D98" s="1" t="s">
        <v>99</v>
      </c>
      <c r="E98" s="1" t="s">
        <v>173</v>
      </c>
      <c r="F98" s="1" t="s">
        <v>179</v>
      </c>
      <c r="G98" s="1" t="s">
        <v>1115</v>
      </c>
      <c r="H98" s="1" t="s">
        <v>65</v>
      </c>
      <c r="I98" s="1" t="s">
        <v>421</v>
      </c>
      <c r="J98" s="1">
        <v>20.0</v>
      </c>
      <c r="K98" s="1">
        <v>90.0</v>
      </c>
      <c r="L98" s="1">
        <v>1995.0</v>
      </c>
      <c r="M98" s="1"/>
      <c r="N98" s="1"/>
      <c r="O98" s="1">
        <v>2011.0</v>
      </c>
      <c r="P98" s="1" t="s">
        <v>246</v>
      </c>
      <c r="Q98" s="4" t="s">
        <v>51</v>
      </c>
      <c r="R98" s="1" t="s">
        <v>52</v>
      </c>
      <c r="S98" s="1" t="s">
        <v>30</v>
      </c>
      <c r="T98" s="4" t="s">
        <v>106</v>
      </c>
      <c r="U98" s="1">
        <v>1995.0</v>
      </c>
      <c r="V98" s="1"/>
      <c r="W98" s="1"/>
      <c r="X98" s="4" t="s">
        <v>55</v>
      </c>
      <c r="Y98" s="4" t="s">
        <v>99</v>
      </c>
      <c r="Z98" s="4" t="s">
        <v>179</v>
      </c>
      <c r="AA98" s="4" t="s">
        <v>179</v>
      </c>
      <c r="AB98" s="4" t="s">
        <v>179</v>
      </c>
      <c r="AC98" s="4" t="s">
        <v>1209</v>
      </c>
      <c r="AD98" s="1" t="s">
        <v>1211</v>
      </c>
      <c r="AE98" s="1" t="s">
        <v>1212</v>
      </c>
      <c r="AF98" s="1" t="s">
        <v>60</v>
      </c>
      <c r="AG98" s="4" t="s">
        <v>62</v>
      </c>
      <c r="AH98" s="1">
        <v>9.0</v>
      </c>
      <c r="AI98" s="1">
        <v>9.0</v>
      </c>
      <c r="AJ98" s="1">
        <v>9.0</v>
      </c>
      <c r="AK98" s="1">
        <f t="shared" si="1"/>
        <v>27</v>
      </c>
      <c r="AL98" s="1">
        <v>1.0</v>
      </c>
      <c r="AM98" s="1">
        <v>312.0</v>
      </c>
      <c r="AN98" s="1">
        <f t="shared" si="2"/>
        <v>312</v>
      </c>
      <c r="AO98" s="1">
        <f t="shared" si="4"/>
        <v>1.353205128</v>
      </c>
      <c r="AP98" s="4" t="s">
        <v>1116</v>
      </c>
    </row>
    <row r="99" ht="12.75" customHeight="1">
      <c r="A99" s="1" t="s">
        <v>958</v>
      </c>
      <c r="B99" s="1" t="s">
        <v>959</v>
      </c>
      <c r="C99" s="4" t="s">
        <v>44</v>
      </c>
      <c r="D99" s="1" t="s">
        <v>45</v>
      </c>
      <c r="E99" s="4" t="s">
        <v>124</v>
      </c>
      <c r="F99" s="1" t="s">
        <v>126</v>
      </c>
      <c r="G99" s="1"/>
      <c r="H99" s="1" t="s">
        <v>65</v>
      </c>
      <c r="I99" s="1" t="s">
        <v>1222</v>
      </c>
      <c r="J99" s="1">
        <v>20.0</v>
      </c>
      <c r="K99" s="1">
        <v>90.0</v>
      </c>
      <c r="L99" s="1">
        <v>1996.0</v>
      </c>
      <c r="M99" s="1"/>
      <c r="N99" s="1"/>
      <c r="O99" s="1">
        <v>2011.0</v>
      </c>
      <c r="P99" s="1" t="s">
        <v>105</v>
      </c>
      <c r="Q99" s="4" t="s">
        <v>51</v>
      </c>
      <c r="R99" s="1" t="s">
        <v>52</v>
      </c>
      <c r="S99" s="1" t="s">
        <v>30</v>
      </c>
      <c r="T99" s="1" t="s">
        <v>60</v>
      </c>
      <c r="U99" s="4">
        <v>297.0</v>
      </c>
      <c r="V99" s="1"/>
      <c r="W99" s="1"/>
      <c r="X99" s="4" t="s">
        <v>30</v>
      </c>
      <c r="Y99" s="4" t="s">
        <v>30</v>
      </c>
      <c r="Z99" s="1" t="s">
        <v>1223</v>
      </c>
      <c r="AA99" s="1" t="s">
        <v>1223</v>
      </c>
      <c r="AB99" s="1" t="s">
        <v>1225</v>
      </c>
      <c r="AC99" s="1" t="s">
        <v>261</v>
      </c>
      <c r="AD99" s="1" t="s">
        <v>174</v>
      </c>
      <c r="AE99" s="1" t="s">
        <v>112</v>
      </c>
      <c r="AF99" s="1" t="s">
        <v>1227</v>
      </c>
      <c r="AG99" s="4" t="s">
        <v>62</v>
      </c>
      <c r="AH99" s="1">
        <v>9.0</v>
      </c>
      <c r="AI99" s="1">
        <v>9.0</v>
      </c>
      <c r="AJ99" s="1">
        <v>9.0</v>
      </c>
      <c r="AK99" s="1">
        <f t="shared" si="1"/>
        <v>27</v>
      </c>
      <c r="AL99" s="1">
        <v>1.0</v>
      </c>
      <c r="AM99" s="1">
        <v>592.0</v>
      </c>
      <c r="AN99" s="1">
        <f t="shared" si="2"/>
        <v>592</v>
      </c>
      <c r="AO99" s="1">
        <f t="shared" si="4"/>
        <v>1.351689189</v>
      </c>
      <c r="AP99" s="4" t="s">
        <v>960</v>
      </c>
    </row>
    <row r="100" ht="12.75" customHeight="1">
      <c r="A100" s="1" t="s">
        <v>1231</v>
      </c>
      <c r="B100" s="1" t="s">
        <v>1232</v>
      </c>
      <c r="C100" s="4" t="s">
        <v>44</v>
      </c>
      <c r="D100" s="1" t="s">
        <v>45</v>
      </c>
      <c r="E100" s="4" t="s">
        <v>124</v>
      </c>
      <c r="F100" s="1" t="s">
        <v>126</v>
      </c>
      <c r="G100" s="1"/>
      <c r="H100" s="1" t="s">
        <v>65</v>
      </c>
      <c r="I100" s="1" t="s">
        <v>428</v>
      </c>
      <c r="J100" s="1">
        <v>20.0</v>
      </c>
      <c r="K100" s="1">
        <v>90.0</v>
      </c>
      <c r="L100" s="1">
        <v>1997.0</v>
      </c>
      <c r="M100" s="1"/>
      <c r="N100" s="1"/>
      <c r="O100" s="1">
        <v>2011.0</v>
      </c>
      <c r="P100" s="1" t="s">
        <v>246</v>
      </c>
      <c r="Q100" s="4" t="s">
        <v>51</v>
      </c>
      <c r="R100" s="1" t="s">
        <v>52</v>
      </c>
      <c r="S100" s="1" t="s">
        <v>30</v>
      </c>
      <c r="T100" s="4" t="s">
        <v>106</v>
      </c>
      <c r="U100" s="1">
        <v>1997.0</v>
      </c>
      <c r="V100" s="1"/>
      <c r="W100" s="1"/>
      <c r="X100" s="4" t="s">
        <v>55</v>
      </c>
      <c r="Y100" s="4" t="s">
        <v>45</v>
      </c>
      <c r="Z100" s="1" t="s">
        <v>126</v>
      </c>
      <c r="AA100" s="1" t="s">
        <v>1243</v>
      </c>
      <c r="AB100" s="1" t="s">
        <v>1244</v>
      </c>
      <c r="AC100" s="1" t="s">
        <v>92</v>
      </c>
      <c r="AD100" s="1" t="s">
        <v>1246</v>
      </c>
      <c r="AE100" s="1" t="s">
        <v>60</v>
      </c>
      <c r="AF100" s="1" t="s">
        <v>60</v>
      </c>
      <c r="AG100" s="4" t="s">
        <v>62</v>
      </c>
      <c r="AH100" s="1">
        <v>6.0</v>
      </c>
      <c r="AI100" s="1">
        <v>7.0</v>
      </c>
      <c r="AJ100" s="1">
        <v>7.0</v>
      </c>
      <c r="AK100" s="1">
        <f t="shared" si="1"/>
        <v>20</v>
      </c>
      <c r="AL100" s="1">
        <v>1.0</v>
      </c>
      <c r="AM100" s="1">
        <v>432.0</v>
      </c>
      <c r="AN100" s="1">
        <f t="shared" si="2"/>
        <v>432</v>
      </c>
      <c r="AO100" s="1">
        <f t="shared" si="4"/>
        <v>1.002314815</v>
      </c>
      <c r="AP100" s="4" t="s">
        <v>1251</v>
      </c>
    </row>
    <row r="101" ht="12.75" customHeight="1">
      <c r="A101" s="1" t="s">
        <v>958</v>
      </c>
      <c r="B101" s="1" t="s">
        <v>961</v>
      </c>
      <c r="C101" s="4" t="s">
        <v>44</v>
      </c>
      <c r="D101" s="1" t="s">
        <v>45</v>
      </c>
      <c r="E101" s="4" t="s">
        <v>124</v>
      </c>
      <c r="F101" s="1" t="s">
        <v>126</v>
      </c>
      <c r="G101" s="1"/>
      <c r="H101" s="1" t="s">
        <v>65</v>
      </c>
      <c r="I101" s="1" t="s">
        <v>1222</v>
      </c>
      <c r="J101" s="1">
        <v>20.0</v>
      </c>
      <c r="K101" s="1">
        <v>90.0</v>
      </c>
      <c r="L101" s="1">
        <v>1998.0</v>
      </c>
      <c r="M101" s="1"/>
      <c r="N101" s="1"/>
      <c r="O101" s="1">
        <v>2011.0</v>
      </c>
      <c r="P101" s="1" t="s">
        <v>105</v>
      </c>
      <c r="Q101" s="4" t="s">
        <v>51</v>
      </c>
      <c r="R101" s="1" t="s">
        <v>52</v>
      </c>
      <c r="S101" s="1" t="s">
        <v>30</v>
      </c>
      <c r="T101" s="1" t="s">
        <v>60</v>
      </c>
      <c r="U101" s="4">
        <v>299.0</v>
      </c>
      <c r="V101" s="1"/>
      <c r="W101" s="1"/>
      <c r="X101" s="4" t="s">
        <v>30</v>
      </c>
      <c r="Y101" s="4" t="s">
        <v>30</v>
      </c>
      <c r="Z101" s="1" t="s">
        <v>1223</v>
      </c>
      <c r="AA101" s="1" t="s">
        <v>1223</v>
      </c>
      <c r="AB101" s="1" t="s">
        <v>1225</v>
      </c>
      <c r="AC101" s="1" t="s">
        <v>261</v>
      </c>
      <c r="AD101" s="1" t="s">
        <v>174</v>
      </c>
      <c r="AE101" s="1" t="s">
        <v>112</v>
      </c>
      <c r="AF101" s="1" t="s">
        <v>1227</v>
      </c>
      <c r="AG101" s="4" t="s">
        <v>62</v>
      </c>
      <c r="AH101" s="1">
        <v>8.0</v>
      </c>
      <c r="AI101" s="1">
        <v>9.0</v>
      </c>
      <c r="AJ101" s="1">
        <v>8.0</v>
      </c>
      <c r="AK101" s="1">
        <f t="shared" si="1"/>
        <v>25</v>
      </c>
      <c r="AL101" s="1">
        <v>1.0</v>
      </c>
      <c r="AM101" s="1">
        <v>656.0</v>
      </c>
      <c r="AN101" s="1">
        <f t="shared" si="2"/>
        <v>656</v>
      </c>
      <c r="AO101" s="1">
        <f t="shared" si="4"/>
        <v>1.25152439</v>
      </c>
      <c r="AP101" s="4" t="s">
        <v>962</v>
      </c>
    </row>
    <row r="102" ht="12.75" customHeight="1">
      <c r="A102" s="1" t="s">
        <v>1325</v>
      </c>
      <c r="B102" s="1" t="s">
        <v>1326</v>
      </c>
      <c r="C102" s="4" t="s">
        <v>44</v>
      </c>
      <c r="D102" s="1" t="s">
        <v>45</v>
      </c>
      <c r="E102" s="4" t="s">
        <v>124</v>
      </c>
      <c r="F102" s="1" t="s">
        <v>126</v>
      </c>
      <c r="G102" s="1"/>
      <c r="H102" s="1" t="s">
        <v>65</v>
      </c>
      <c r="I102" s="1" t="s">
        <v>486</v>
      </c>
      <c r="J102" s="1">
        <v>21.0</v>
      </c>
      <c r="K102" s="1">
        <v>0.0</v>
      </c>
      <c r="L102" s="1">
        <v>2001.0</v>
      </c>
      <c r="M102" s="1"/>
      <c r="N102" s="1"/>
      <c r="O102" s="1">
        <v>2011.0</v>
      </c>
      <c r="P102" s="1" t="s">
        <v>554</v>
      </c>
      <c r="Q102" s="4" t="s">
        <v>51</v>
      </c>
      <c r="R102" s="1" t="s">
        <v>136</v>
      </c>
      <c r="S102" s="1" t="s">
        <v>136</v>
      </c>
      <c r="T102" s="4" t="s">
        <v>106</v>
      </c>
      <c r="U102" s="1">
        <v>2001.0</v>
      </c>
      <c r="V102" s="1"/>
      <c r="W102" s="1"/>
      <c r="X102" s="4" t="s">
        <v>55</v>
      </c>
      <c r="Y102" s="4" t="s">
        <v>45</v>
      </c>
      <c r="Z102" s="1" t="s">
        <v>126</v>
      </c>
      <c r="AA102" s="4" t="s">
        <v>1627</v>
      </c>
      <c r="AB102" s="1" t="s">
        <v>1628</v>
      </c>
      <c r="AC102" s="1" t="s">
        <v>58</v>
      </c>
      <c r="AD102" s="1" t="s">
        <v>1629</v>
      </c>
      <c r="AE102" s="1" t="s">
        <v>60</v>
      </c>
      <c r="AF102" s="1" t="s">
        <v>60</v>
      </c>
      <c r="AG102" s="4" t="s">
        <v>62</v>
      </c>
      <c r="AH102" s="1">
        <v>6.0</v>
      </c>
      <c r="AI102" s="1">
        <v>6.0</v>
      </c>
      <c r="AJ102" s="1">
        <v>5.0</v>
      </c>
      <c r="AK102" s="1">
        <f t="shared" si="1"/>
        <v>17</v>
      </c>
      <c r="AL102" s="1">
        <v>1.0</v>
      </c>
      <c r="AM102" s="1">
        <v>362.0</v>
      </c>
      <c r="AN102" s="1">
        <f t="shared" si="2"/>
        <v>362</v>
      </c>
      <c r="AO102" s="1">
        <f t="shared" si="4"/>
        <v>0.8527624309</v>
      </c>
      <c r="AP102" s="4" t="s">
        <v>1327</v>
      </c>
    </row>
    <row r="103" ht="12.75" customHeight="1">
      <c r="A103" s="1" t="s">
        <v>1231</v>
      </c>
      <c r="B103" s="1" t="s">
        <v>1439</v>
      </c>
      <c r="C103" s="4" t="s">
        <v>44</v>
      </c>
      <c r="D103" s="1" t="s">
        <v>45</v>
      </c>
      <c r="E103" s="4" t="s">
        <v>124</v>
      </c>
      <c r="F103" s="1" t="s">
        <v>126</v>
      </c>
      <c r="G103" s="1"/>
      <c r="H103" s="1" t="s">
        <v>65</v>
      </c>
      <c r="I103" s="1" t="s">
        <v>604</v>
      </c>
      <c r="J103" s="1">
        <v>21.0</v>
      </c>
      <c r="K103" s="1">
        <v>0.0</v>
      </c>
      <c r="L103" s="1">
        <v>2005.0</v>
      </c>
      <c r="M103" s="1"/>
      <c r="N103" s="1"/>
      <c r="O103" s="1">
        <v>2011.0</v>
      </c>
      <c r="P103" s="1" t="s">
        <v>246</v>
      </c>
      <c r="Q103" s="4" t="s">
        <v>51</v>
      </c>
      <c r="R103" s="1" t="s">
        <v>52</v>
      </c>
      <c r="S103" s="1" t="s">
        <v>53</v>
      </c>
      <c r="T103" s="4" t="s">
        <v>106</v>
      </c>
      <c r="U103" s="1">
        <v>2005.0</v>
      </c>
      <c r="V103" s="1"/>
      <c r="W103" s="1"/>
      <c r="X103" s="4" t="s">
        <v>55</v>
      </c>
      <c r="Y103" s="4" t="s">
        <v>45</v>
      </c>
      <c r="Z103" s="1" t="s">
        <v>126</v>
      </c>
      <c r="AA103" s="1" t="s">
        <v>1630</v>
      </c>
      <c r="AB103" s="1" t="s">
        <v>1631</v>
      </c>
      <c r="AC103" s="1" t="s">
        <v>261</v>
      </c>
      <c r="AD103" s="1" t="s">
        <v>259</v>
      </c>
      <c r="AE103" s="1" t="s">
        <v>259</v>
      </c>
      <c r="AF103" s="4" t="s">
        <v>1632</v>
      </c>
      <c r="AG103" s="4" t="s">
        <v>62</v>
      </c>
      <c r="AH103" s="1">
        <v>6.0</v>
      </c>
      <c r="AI103" s="1">
        <v>5.0</v>
      </c>
      <c r="AJ103" s="1">
        <v>5.0</v>
      </c>
      <c r="AK103" s="1">
        <f t="shared" si="1"/>
        <v>16</v>
      </c>
      <c r="AL103" s="1">
        <v>1.0</v>
      </c>
      <c r="AM103" s="1">
        <v>400.0</v>
      </c>
      <c r="AN103" s="1">
        <f t="shared" si="2"/>
        <v>400</v>
      </c>
      <c r="AO103" s="1">
        <f t="shared" si="4"/>
        <v>0.8025</v>
      </c>
      <c r="AP103" s="4" t="s">
        <v>1440</v>
      </c>
    </row>
    <row r="104" ht="12.75" customHeight="1">
      <c r="A104" s="1" t="s">
        <v>750</v>
      </c>
      <c r="B104" s="1" t="s">
        <v>1038</v>
      </c>
      <c r="C104" s="4" t="s">
        <v>44</v>
      </c>
      <c r="D104" s="1" t="s">
        <v>99</v>
      </c>
      <c r="E104" s="1" t="s">
        <v>100</v>
      </c>
      <c r="F104" s="1" t="s">
        <v>101</v>
      </c>
      <c r="G104" s="1"/>
      <c r="H104" s="1" t="s">
        <v>65</v>
      </c>
      <c r="I104" s="1" t="s">
        <v>166</v>
      </c>
      <c r="J104" s="1">
        <v>21.0</v>
      </c>
      <c r="K104" s="1">
        <v>0.0</v>
      </c>
      <c r="L104" s="1">
        <v>2007.0</v>
      </c>
      <c r="M104" s="1"/>
      <c r="N104" s="1"/>
      <c r="O104" s="1">
        <v>2011.0</v>
      </c>
      <c r="P104" s="1" t="s">
        <v>246</v>
      </c>
      <c r="Q104" s="4" t="s">
        <v>51</v>
      </c>
      <c r="R104" s="1" t="s">
        <v>52</v>
      </c>
      <c r="S104" s="1" t="s">
        <v>30</v>
      </c>
      <c r="T104" s="1" t="s">
        <v>60</v>
      </c>
      <c r="U104" s="4">
        <v>472.0</v>
      </c>
      <c r="V104" s="1"/>
      <c r="W104" s="1"/>
      <c r="X104" s="4" t="s">
        <v>30</v>
      </c>
      <c r="Y104" s="4" t="s">
        <v>30</v>
      </c>
      <c r="Z104" s="4" t="s">
        <v>170</v>
      </c>
      <c r="AA104" s="1" t="s">
        <v>171</v>
      </c>
      <c r="AB104" s="1" t="s">
        <v>171</v>
      </c>
      <c r="AC104" s="1" t="s">
        <v>172</v>
      </c>
      <c r="AD104" s="1" t="s">
        <v>174</v>
      </c>
      <c r="AE104" s="1" t="s">
        <v>112</v>
      </c>
      <c r="AF104" s="1" t="s">
        <v>60</v>
      </c>
      <c r="AG104" s="4" t="s">
        <v>62</v>
      </c>
      <c r="AH104" s="1">
        <v>8.0</v>
      </c>
      <c r="AI104" s="1">
        <v>9.0</v>
      </c>
      <c r="AJ104" s="1">
        <v>9.0</v>
      </c>
      <c r="AK104" s="1">
        <f t="shared" si="1"/>
        <v>26</v>
      </c>
      <c r="AL104" s="1">
        <v>1.0</v>
      </c>
      <c r="AM104" s="1">
        <v>340.0</v>
      </c>
      <c r="AN104" s="1">
        <f t="shared" si="2"/>
        <v>340</v>
      </c>
      <c r="AO104" s="1">
        <f t="shared" si="4"/>
        <v>1.302941176</v>
      </c>
      <c r="AP104" s="4" t="s">
        <v>1039</v>
      </c>
    </row>
    <row r="105" ht="12.75" customHeight="1">
      <c r="A105" s="1" t="s">
        <v>563</v>
      </c>
      <c r="B105" s="1" t="s">
        <v>1118</v>
      </c>
      <c r="C105" s="4" t="s">
        <v>44</v>
      </c>
      <c r="D105" s="1" t="s">
        <v>99</v>
      </c>
      <c r="E105" s="1" t="s">
        <v>173</v>
      </c>
      <c r="F105" s="1" t="s">
        <v>179</v>
      </c>
      <c r="G105" s="1" t="s">
        <v>1118</v>
      </c>
      <c r="H105" s="1" t="s">
        <v>65</v>
      </c>
      <c r="I105" s="1" t="s">
        <v>421</v>
      </c>
      <c r="J105" s="1">
        <v>21.0</v>
      </c>
      <c r="K105" s="1">
        <v>0.0</v>
      </c>
      <c r="L105" s="1">
        <v>2009.0</v>
      </c>
      <c r="M105" s="1"/>
      <c r="N105" s="1"/>
      <c r="O105" s="1">
        <v>2011.0</v>
      </c>
      <c r="P105" s="1" t="s">
        <v>246</v>
      </c>
      <c r="Q105" s="4" t="s">
        <v>51</v>
      </c>
      <c r="R105" s="1" t="s">
        <v>52</v>
      </c>
      <c r="S105" s="1" t="s">
        <v>30</v>
      </c>
      <c r="T105" s="4" t="s">
        <v>1633</v>
      </c>
      <c r="U105" s="4">
        <v>-1900.0</v>
      </c>
      <c r="V105" s="1"/>
      <c r="W105" s="1"/>
      <c r="X105" s="4" t="s">
        <v>30</v>
      </c>
      <c r="Y105" s="4" t="s">
        <v>30</v>
      </c>
      <c r="Z105" s="4" t="s">
        <v>1634</v>
      </c>
      <c r="AA105" s="4" t="s">
        <v>1634</v>
      </c>
      <c r="AB105" s="4" t="s">
        <v>1634</v>
      </c>
      <c r="AC105" s="4" t="s">
        <v>1635</v>
      </c>
      <c r="AD105" s="1" t="s">
        <v>580</v>
      </c>
      <c r="AE105" s="1" t="s">
        <v>386</v>
      </c>
      <c r="AF105" s="1" t="s">
        <v>60</v>
      </c>
      <c r="AG105" s="4" t="s">
        <v>62</v>
      </c>
      <c r="AH105" s="1">
        <v>8.0</v>
      </c>
      <c r="AI105" s="1">
        <v>9.0</v>
      </c>
      <c r="AJ105" s="1">
        <v>7.0</v>
      </c>
      <c r="AK105" s="1">
        <f t="shared" si="1"/>
        <v>24</v>
      </c>
      <c r="AL105" s="1">
        <v>1.0</v>
      </c>
      <c r="AM105" s="1">
        <v>172.0</v>
      </c>
      <c r="AN105" s="1">
        <f t="shared" si="2"/>
        <v>172</v>
      </c>
      <c r="AO105" s="1">
        <f t="shared" si="4"/>
        <v>1.205813953</v>
      </c>
      <c r="AP105" s="4" t="s">
        <v>1119</v>
      </c>
    </row>
    <row r="106" ht="12.75" customHeight="1">
      <c r="A106" s="1" t="s">
        <v>492</v>
      </c>
      <c r="B106" s="1" t="s">
        <v>832</v>
      </c>
      <c r="C106" s="4" t="s">
        <v>44</v>
      </c>
      <c r="D106" s="1" t="s">
        <v>45</v>
      </c>
      <c r="E106" s="4" t="s">
        <v>124</v>
      </c>
      <c r="F106" s="1" t="s">
        <v>126</v>
      </c>
      <c r="G106" s="1"/>
      <c r="H106" s="1" t="s">
        <v>65</v>
      </c>
      <c r="I106" s="1" t="s">
        <v>494</v>
      </c>
      <c r="J106" s="1">
        <v>21.0</v>
      </c>
      <c r="K106" s="1">
        <v>0.0</v>
      </c>
      <c r="L106" s="1">
        <v>2009.0</v>
      </c>
      <c r="M106" s="1"/>
      <c r="N106" s="1"/>
      <c r="O106" s="1">
        <v>2011.0</v>
      </c>
      <c r="P106" s="1" t="s">
        <v>214</v>
      </c>
      <c r="Q106" s="4" t="s">
        <v>51</v>
      </c>
      <c r="R106" s="1" t="s">
        <v>52</v>
      </c>
      <c r="S106" s="1" t="s">
        <v>270</v>
      </c>
      <c r="T106" s="4" t="s">
        <v>106</v>
      </c>
      <c r="U106" s="1">
        <v>2009.0</v>
      </c>
      <c r="V106" s="1"/>
      <c r="W106" s="1"/>
      <c r="X106" s="4" t="s">
        <v>55</v>
      </c>
      <c r="Y106" s="4" t="s">
        <v>45</v>
      </c>
      <c r="Z106" s="1" t="s">
        <v>126</v>
      </c>
      <c r="AA106" s="1" t="s">
        <v>527</v>
      </c>
      <c r="AB106" s="1" t="s">
        <v>527</v>
      </c>
      <c r="AC106" s="1" t="s">
        <v>69</v>
      </c>
      <c r="AD106" s="1" t="s">
        <v>498</v>
      </c>
      <c r="AE106" s="1" t="s">
        <v>60</v>
      </c>
      <c r="AF106" s="4" t="s">
        <v>499</v>
      </c>
      <c r="AG106" s="4" t="s">
        <v>62</v>
      </c>
      <c r="AH106" s="1">
        <v>6.0</v>
      </c>
      <c r="AI106" s="1">
        <v>6.0</v>
      </c>
      <c r="AJ106" s="1">
        <v>6.0</v>
      </c>
      <c r="AK106" s="1">
        <f t="shared" si="1"/>
        <v>18</v>
      </c>
      <c r="AL106" s="1">
        <v>1.0</v>
      </c>
      <c r="AM106" s="1">
        <v>496.0</v>
      </c>
      <c r="AN106" s="1">
        <f t="shared" si="2"/>
        <v>496</v>
      </c>
      <c r="AO106" s="1">
        <f t="shared" si="4"/>
        <v>0.902016129</v>
      </c>
      <c r="AP106" s="4" t="s">
        <v>833</v>
      </c>
    </row>
    <row r="107" ht="12.75" customHeight="1">
      <c r="A107" s="4" t="s">
        <v>1240</v>
      </c>
      <c r="B107" s="4" t="s">
        <v>1241</v>
      </c>
      <c r="C107" s="4" t="s">
        <v>44</v>
      </c>
      <c r="D107" s="4" t="s">
        <v>45</v>
      </c>
      <c r="E107" s="8" t="s">
        <v>46</v>
      </c>
      <c r="F107" s="8" t="s">
        <v>47</v>
      </c>
      <c r="G107" s="1"/>
      <c r="H107" s="4" t="s">
        <v>1636</v>
      </c>
      <c r="I107" s="4" t="s">
        <v>1637</v>
      </c>
      <c r="J107" s="4">
        <v>21.0</v>
      </c>
      <c r="K107" s="4">
        <v>0.0</v>
      </c>
      <c r="L107" s="4">
        <v>2008.0</v>
      </c>
      <c r="M107" s="4">
        <v>14.0</v>
      </c>
      <c r="N107" s="4">
        <v>2.0</v>
      </c>
      <c r="O107" s="4">
        <v>2012.0</v>
      </c>
      <c r="P107" s="4" t="s">
        <v>214</v>
      </c>
      <c r="Q107" s="4" t="s">
        <v>51</v>
      </c>
      <c r="R107" s="4" t="s">
        <v>232</v>
      </c>
      <c r="S107" s="4" t="s">
        <v>234</v>
      </c>
      <c r="T107" s="4" t="s">
        <v>106</v>
      </c>
      <c r="U107" s="4">
        <v>2012.0</v>
      </c>
      <c r="V107" s="1"/>
      <c r="W107" s="1"/>
      <c r="X107" s="4" t="s">
        <v>139</v>
      </c>
      <c r="Y107" s="4" t="s">
        <v>139</v>
      </c>
      <c r="Z107" s="4" t="s">
        <v>139</v>
      </c>
      <c r="AA107" s="4" t="s">
        <v>139</v>
      </c>
      <c r="AB107" s="4" t="s">
        <v>139</v>
      </c>
      <c r="AC107" s="4" t="s">
        <v>69</v>
      </c>
      <c r="AD107" s="11" t="s">
        <v>60</v>
      </c>
      <c r="AE107" s="11" t="s">
        <v>60</v>
      </c>
      <c r="AF107" s="11" t="s">
        <v>60</v>
      </c>
      <c r="AG107" s="4" t="s">
        <v>62</v>
      </c>
      <c r="AH107" s="4">
        <v>7.0</v>
      </c>
      <c r="AI107" s="4">
        <v>6.0</v>
      </c>
      <c r="AJ107" s="4">
        <v>6.0</v>
      </c>
      <c r="AK107" s="1">
        <f t="shared" si="1"/>
        <v>19</v>
      </c>
      <c r="AL107" s="1">
        <v>1.0</v>
      </c>
      <c r="AM107" s="4">
        <v>120.0</v>
      </c>
      <c r="AN107" s="1">
        <f t="shared" si="2"/>
        <v>120</v>
      </c>
      <c r="AO107" s="1">
        <f t="shared" si="4"/>
        <v>0.9583333333</v>
      </c>
      <c r="AP107" s="4" t="s">
        <v>1242</v>
      </c>
    </row>
    <row r="108" ht="12.75" customHeight="1">
      <c r="A108" s="4" t="s">
        <v>911</v>
      </c>
      <c r="B108" s="4" t="s">
        <v>912</v>
      </c>
      <c r="C108" s="4" t="s">
        <v>44</v>
      </c>
      <c r="D108" s="4" t="s">
        <v>45</v>
      </c>
      <c r="E108" s="4" t="s">
        <v>124</v>
      </c>
      <c r="F108" s="4" t="s">
        <v>126</v>
      </c>
      <c r="G108" s="1"/>
      <c r="H108" s="4" t="s">
        <v>65</v>
      </c>
      <c r="I108" s="4" t="s">
        <v>1638</v>
      </c>
      <c r="J108" s="4">
        <v>20.0</v>
      </c>
      <c r="K108" s="4">
        <v>50.0</v>
      </c>
      <c r="L108" s="4">
        <v>1958.0</v>
      </c>
      <c r="M108" s="4">
        <v>8.0</v>
      </c>
      <c r="N108" s="4">
        <v>3.0</v>
      </c>
      <c r="O108" s="4">
        <v>2012.0</v>
      </c>
      <c r="P108" s="4" t="s">
        <v>214</v>
      </c>
      <c r="Q108" s="4" t="s">
        <v>51</v>
      </c>
      <c r="R108" s="4" t="s">
        <v>253</v>
      </c>
      <c r="S108" s="4" t="s">
        <v>217</v>
      </c>
      <c r="T108" s="4" t="s">
        <v>1639</v>
      </c>
      <c r="U108" s="4">
        <v>-2000.0</v>
      </c>
      <c r="V108" s="1"/>
      <c r="W108" s="1"/>
      <c r="X108" s="4" t="s">
        <v>55</v>
      </c>
      <c r="Y108" s="4" t="s">
        <v>99</v>
      </c>
      <c r="Z108" s="4" t="s">
        <v>176</v>
      </c>
      <c r="AA108" s="4" t="s">
        <v>176</v>
      </c>
      <c r="AB108" s="4" t="s">
        <v>176</v>
      </c>
      <c r="AC108" s="4" t="s">
        <v>19</v>
      </c>
      <c r="AD108" s="11" t="s">
        <v>60</v>
      </c>
      <c r="AE108" s="11" t="s">
        <v>60</v>
      </c>
      <c r="AF108" s="11" t="s">
        <v>60</v>
      </c>
      <c r="AG108" s="4" t="s">
        <v>62</v>
      </c>
      <c r="AH108" s="4">
        <v>6.0</v>
      </c>
      <c r="AI108" s="4">
        <v>6.0</v>
      </c>
      <c r="AJ108" s="4">
        <v>6.0</v>
      </c>
      <c r="AK108" s="1">
        <f t="shared" si="1"/>
        <v>18</v>
      </c>
      <c r="AL108" s="1">
        <v>1.0</v>
      </c>
      <c r="AM108" s="4">
        <v>273.0</v>
      </c>
      <c r="AN108" s="1">
        <f t="shared" si="2"/>
        <v>273</v>
      </c>
      <c r="AO108" s="1">
        <f t="shared" si="4"/>
        <v>0.9036630037</v>
      </c>
      <c r="AP108" s="4" t="s">
        <v>913</v>
      </c>
    </row>
    <row r="109" ht="12.75" customHeight="1">
      <c r="A109" s="1" t="s">
        <v>1373</v>
      </c>
      <c r="B109" s="1" t="s">
        <v>1374</v>
      </c>
      <c r="C109" s="4" t="s">
        <v>44</v>
      </c>
      <c r="D109" s="1" t="s">
        <v>99</v>
      </c>
      <c r="E109" s="1" t="s">
        <v>100</v>
      </c>
      <c r="F109" s="1" t="s">
        <v>210</v>
      </c>
      <c r="G109" s="1"/>
      <c r="H109" s="1" t="s">
        <v>65</v>
      </c>
      <c r="I109" s="1" t="s">
        <v>547</v>
      </c>
      <c r="J109" s="1">
        <v>19.0</v>
      </c>
      <c r="K109" s="1">
        <v>90.0</v>
      </c>
      <c r="L109" s="1">
        <v>1890.0</v>
      </c>
      <c r="M109" s="1"/>
      <c r="N109" s="1"/>
      <c r="O109" s="1">
        <v>2012.0</v>
      </c>
      <c r="P109" s="1" t="s">
        <v>105</v>
      </c>
      <c r="Q109" s="4" t="s">
        <v>51</v>
      </c>
      <c r="R109" s="1" t="s">
        <v>52</v>
      </c>
      <c r="S109" s="1" t="s">
        <v>302</v>
      </c>
      <c r="T109" s="1" t="s">
        <v>1640</v>
      </c>
      <c r="U109" s="1">
        <v>1890.0</v>
      </c>
      <c r="V109" s="1"/>
      <c r="W109" s="1"/>
      <c r="X109" s="4" t="s">
        <v>55</v>
      </c>
      <c r="Y109" s="4" t="s">
        <v>99</v>
      </c>
      <c r="Z109" s="4" t="s">
        <v>101</v>
      </c>
      <c r="AA109" s="1" t="s">
        <v>1641</v>
      </c>
      <c r="AB109" s="1" t="s">
        <v>1641</v>
      </c>
      <c r="AC109" s="1" t="s">
        <v>58</v>
      </c>
      <c r="AD109" s="1" t="s">
        <v>252</v>
      </c>
      <c r="AE109" s="1" t="s">
        <v>386</v>
      </c>
      <c r="AF109" s="1" t="s">
        <v>60</v>
      </c>
      <c r="AG109" s="4" t="s">
        <v>62</v>
      </c>
      <c r="AH109" s="1">
        <v>7.0</v>
      </c>
      <c r="AI109" s="1">
        <v>8.0</v>
      </c>
      <c r="AJ109" s="1">
        <v>8.0</v>
      </c>
      <c r="AK109" s="1">
        <f t="shared" si="1"/>
        <v>23</v>
      </c>
      <c r="AL109" s="1">
        <v>1.0</v>
      </c>
      <c r="AM109" s="1">
        <v>272.0</v>
      </c>
      <c r="AN109" s="1">
        <f t="shared" si="2"/>
        <v>272</v>
      </c>
      <c r="AO109" s="1">
        <f t="shared" si="4"/>
        <v>1.153676471</v>
      </c>
      <c r="AP109" s="4" t="s">
        <v>1375</v>
      </c>
    </row>
    <row r="110" ht="12.75" customHeight="1">
      <c r="A110" s="1" t="s">
        <v>958</v>
      </c>
      <c r="B110" s="1" t="s">
        <v>963</v>
      </c>
      <c r="C110" s="4" t="s">
        <v>44</v>
      </c>
      <c r="D110" s="1" t="s">
        <v>45</v>
      </c>
      <c r="E110" s="4" t="s">
        <v>124</v>
      </c>
      <c r="F110" s="1" t="s">
        <v>126</v>
      </c>
      <c r="G110" s="1"/>
      <c r="H110" s="1" t="s">
        <v>65</v>
      </c>
      <c r="I110" s="1" t="s">
        <v>1222</v>
      </c>
      <c r="J110" s="1">
        <v>21.0</v>
      </c>
      <c r="K110" s="1">
        <v>0.0</v>
      </c>
      <c r="L110" s="1">
        <v>2000.0</v>
      </c>
      <c r="M110" s="1"/>
      <c r="N110" s="1"/>
      <c r="O110" s="1">
        <v>2012.0</v>
      </c>
      <c r="P110" s="1" t="s">
        <v>105</v>
      </c>
      <c r="Q110" s="4" t="s">
        <v>51</v>
      </c>
      <c r="R110" s="1" t="s">
        <v>52</v>
      </c>
      <c r="S110" s="1" t="s">
        <v>30</v>
      </c>
      <c r="T110" s="1" t="s">
        <v>60</v>
      </c>
      <c r="U110" s="4">
        <v>300.0</v>
      </c>
      <c r="V110" s="1"/>
      <c r="W110" s="1"/>
      <c r="X110" s="4" t="s">
        <v>30</v>
      </c>
      <c r="Y110" s="4" t="s">
        <v>30</v>
      </c>
      <c r="Z110" s="1" t="s">
        <v>1223</v>
      </c>
      <c r="AA110" s="1" t="s">
        <v>1223</v>
      </c>
      <c r="AB110" s="1" t="s">
        <v>1225</v>
      </c>
      <c r="AC110" s="1" t="s">
        <v>261</v>
      </c>
      <c r="AD110" s="1" t="s">
        <v>174</v>
      </c>
      <c r="AE110" s="1" t="s">
        <v>112</v>
      </c>
      <c r="AF110" s="1" t="s">
        <v>1227</v>
      </c>
      <c r="AG110" s="4" t="s">
        <v>62</v>
      </c>
      <c r="AH110" s="1">
        <v>8.0</v>
      </c>
      <c r="AI110" s="1">
        <v>9.0</v>
      </c>
      <c r="AJ110" s="1">
        <v>8.0</v>
      </c>
      <c r="AK110" s="1">
        <f t="shared" si="1"/>
        <v>25</v>
      </c>
      <c r="AL110" s="1">
        <v>1.0</v>
      </c>
      <c r="AM110" s="1">
        <v>884.0</v>
      </c>
      <c r="AN110" s="1">
        <f t="shared" si="2"/>
        <v>884</v>
      </c>
      <c r="AO110" s="1">
        <f t="shared" si="4"/>
        <v>1.251131222</v>
      </c>
      <c r="AP110" s="4" t="s">
        <v>964</v>
      </c>
    </row>
    <row r="111" ht="12.75" customHeight="1">
      <c r="A111" s="1" t="s">
        <v>1231</v>
      </c>
      <c r="B111" s="1" t="s">
        <v>1441</v>
      </c>
      <c r="C111" s="4" t="s">
        <v>44</v>
      </c>
      <c r="D111" s="1" t="s">
        <v>45</v>
      </c>
      <c r="E111" s="4" t="s">
        <v>124</v>
      </c>
      <c r="F111" s="1" t="s">
        <v>126</v>
      </c>
      <c r="G111" s="1"/>
      <c r="H111" s="1" t="s">
        <v>65</v>
      </c>
      <c r="I111" s="1" t="s">
        <v>604</v>
      </c>
      <c r="J111" s="1">
        <v>21.0</v>
      </c>
      <c r="K111" s="1">
        <v>0.0</v>
      </c>
      <c r="L111" s="1">
        <v>2006.0</v>
      </c>
      <c r="M111" s="1"/>
      <c r="N111" s="1"/>
      <c r="O111" s="1">
        <v>2012.0</v>
      </c>
      <c r="P111" s="1" t="s">
        <v>246</v>
      </c>
      <c r="Q111" s="4" t="s">
        <v>51</v>
      </c>
      <c r="R111" s="1" t="s">
        <v>52</v>
      </c>
      <c r="S111" s="1" t="s">
        <v>53</v>
      </c>
      <c r="T111" s="4" t="s">
        <v>106</v>
      </c>
      <c r="U111" s="1">
        <v>2006.0</v>
      </c>
      <c r="V111" s="1"/>
      <c r="W111" s="1"/>
      <c r="X111" s="4" t="s">
        <v>55</v>
      </c>
      <c r="Y111" s="4" t="s">
        <v>45</v>
      </c>
      <c r="Z111" s="4" t="s">
        <v>126</v>
      </c>
      <c r="AA111" s="4" t="s">
        <v>739</v>
      </c>
      <c r="AB111" s="4" t="s">
        <v>739</v>
      </c>
      <c r="AC111" s="1" t="s">
        <v>261</v>
      </c>
      <c r="AD111" s="1" t="s">
        <v>259</v>
      </c>
      <c r="AE111" s="1" t="s">
        <v>460</v>
      </c>
      <c r="AF111" s="4" t="s">
        <v>1632</v>
      </c>
      <c r="AG111" s="4" t="s">
        <v>62</v>
      </c>
      <c r="AH111" s="1">
        <v>6.0</v>
      </c>
      <c r="AI111" s="1">
        <v>6.0</v>
      </c>
      <c r="AJ111" s="1">
        <v>7.0</v>
      </c>
      <c r="AK111" s="1">
        <f t="shared" si="1"/>
        <v>19</v>
      </c>
      <c r="AL111" s="1">
        <v>1.0</v>
      </c>
      <c r="AM111" s="1">
        <v>304.0</v>
      </c>
      <c r="AN111" s="1">
        <f t="shared" si="2"/>
        <v>304</v>
      </c>
      <c r="AO111" s="1">
        <f t="shared" si="4"/>
        <v>0.9532894737</v>
      </c>
      <c r="AP111" s="4" t="s">
        <v>1442</v>
      </c>
    </row>
    <row r="112" ht="12.75" customHeight="1">
      <c r="A112" s="1" t="s">
        <v>878</v>
      </c>
      <c r="B112" s="1" t="s">
        <v>879</v>
      </c>
      <c r="C112" s="4" t="s">
        <v>44</v>
      </c>
      <c r="D112" s="1" t="s">
        <v>45</v>
      </c>
      <c r="E112" s="1" t="s">
        <v>46</v>
      </c>
      <c r="F112" s="1" t="s">
        <v>47</v>
      </c>
      <c r="G112" s="1" t="s">
        <v>879</v>
      </c>
      <c r="H112" s="1" t="s">
        <v>65</v>
      </c>
      <c r="I112" s="1" t="s">
        <v>1642</v>
      </c>
      <c r="J112" s="1">
        <v>21.0</v>
      </c>
      <c r="K112" s="1">
        <v>0.0</v>
      </c>
      <c r="L112" s="1">
        <v>2007.0</v>
      </c>
      <c r="M112" s="1"/>
      <c r="N112" s="1"/>
      <c r="O112" s="1">
        <v>2012.0</v>
      </c>
      <c r="P112" s="1" t="s">
        <v>214</v>
      </c>
      <c r="Q112" s="4" t="s">
        <v>51</v>
      </c>
      <c r="R112" s="1" t="s">
        <v>52</v>
      </c>
      <c r="S112" s="1" t="s">
        <v>30</v>
      </c>
      <c r="T112" s="1" t="s">
        <v>139</v>
      </c>
      <c r="U112" s="1">
        <v>2007.0</v>
      </c>
      <c r="V112" s="1"/>
      <c r="W112" s="1"/>
      <c r="X112" s="4" t="s">
        <v>139</v>
      </c>
      <c r="Y112" s="4" t="s">
        <v>139</v>
      </c>
      <c r="Z112" s="4" t="s">
        <v>139</v>
      </c>
      <c r="AA112" s="4" t="s">
        <v>139</v>
      </c>
      <c r="AB112" s="4" t="s">
        <v>139</v>
      </c>
      <c r="AC112" s="1" t="s">
        <v>261</v>
      </c>
      <c r="AD112" s="1" t="s">
        <v>580</v>
      </c>
      <c r="AE112" s="1" t="s">
        <v>386</v>
      </c>
      <c r="AF112" s="1" t="s">
        <v>60</v>
      </c>
      <c r="AG112" s="4" t="s">
        <v>62</v>
      </c>
      <c r="AH112" s="1">
        <v>6.0</v>
      </c>
      <c r="AI112" s="1">
        <v>6.0</v>
      </c>
      <c r="AJ112" s="1">
        <v>6.0</v>
      </c>
      <c r="AK112" s="1">
        <f t="shared" si="1"/>
        <v>18</v>
      </c>
      <c r="AL112" s="1">
        <v>1.0</v>
      </c>
      <c r="AM112" s="1">
        <v>586.0</v>
      </c>
      <c r="AN112" s="1">
        <f t="shared" si="2"/>
        <v>586</v>
      </c>
      <c r="AO112" s="1">
        <f t="shared" si="4"/>
        <v>0.9017064846</v>
      </c>
      <c r="AP112" s="4" t="s">
        <v>880</v>
      </c>
    </row>
    <row r="113" ht="12.75" customHeight="1">
      <c r="A113" s="1" t="s">
        <v>1022</v>
      </c>
      <c r="B113" s="1" t="s">
        <v>1023</v>
      </c>
      <c r="C113" s="4" t="s">
        <v>44</v>
      </c>
      <c r="D113" s="1" t="s">
        <v>45</v>
      </c>
      <c r="E113" s="1" t="s">
        <v>46</v>
      </c>
      <c r="F113" s="1" t="s">
        <v>47</v>
      </c>
      <c r="G113" s="1" t="s">
        <v>1023</v>
      </c>
      <c r="H113" s="1" t="s">
        <v>65</v>
      </c>
      <c r="I113" s="1" t="s">
        <v>1643</v>
      </c>
      <c r="J113" s="1">
        <v>21.0</v>
      </c>
      <c r="K113" s="1">
        <v>0.0</v>
      </c>
      <c r="L113" s="1">
        <v>2009.0</v>
      </c>
      <c r="M113" s="1"/>
      <c r="N113" s="1"/>
      <c r="O113" s="1">
        <v>2012.0</v>
      </c>
      <c r="P113" s="1" t="s">
        <v>1644</v>
      </c>
      <c r="Q113" s="4" t="s">
        <v>132</v>
      </c>
      <c r="R113" s="1" t="s">
        <v>135</v>
      </c>
      <c r="S113" s="1" t="s">
        <v>30</v>
      </c>
      <c r="T113" s="1" t="s">
        <v>239</v>
      </c>
      <c r="U113" s="1">
        <v>1920.0</v>
      </c>
      <c r="V113" s="1"/>
      <c r="W113" s="1"/>
      <c r="X113" s="4" t="s">
        <v>55</v>
      </c>
      <c r="Y113" s="4" t="s">
        <v>45</v>
      </c>
      <c r="Z113" s="1" t="s">
        <v>47</v>
      </c>
      <c r="AA113" s="4" t="s">
        <v>1645</v>
      </c>
      <c r="AB113" s="4" t="s">
        <v>1645</v>
      </c>
      <c r="AC113" s="4" t="s">
        <v>522</v>
      </c>
      <c r="AD113" s="1" t="s">
        <v>455</v>
      </c>
      <c r="AE113" s="1" t="s">
        <v>1646</v>
      </c>
      <c r="AF113" s="1" t="s">
        <v>60</v>
      </c>
      <c r="AG113" s="4" t="s">
        <v>62</v>
      </c>
      <c r="AH113" s="1">
        <v>6.0</v>
      </c>
      <c r="AI113" s="1">
        <v>7.0</v>
      </c>
      <c r="AJ113" s="1">
        <v>7.0</v>
      </c>
      <c r="AK113" s="1">
        <f t="shared" si="1"/>
        <v>20</v>
      </c>
      <c r="AL113" s="1">
        <v>1.0</v>
      </c>
      <c r="AM113" s="1">
        <v>12.0</v>
      </c>
      <c r="AN113" s="1">
        <f t="shared" si="2"/>
        <v>12</v>
      </c>
      <c r="AO113" s="1">
        <f t="shared" si="4"/>
        <v>1.083333333</v>
      </c>
      <c r="AP113" s="4" t="s">
        <v>1024</v>
      </c>
    </row>
    <row r="114" ht="12.75" customHeight="1">
      <c r="A114" s="1" t="s">
        <v>697</v>
      </c>
      <c r="B114" s="1" t="s">
        <v>698</v>
      </c>
      <c r="C114" s="4" t="s">
        <v>44</v>
      </c>
      <c r="D114" s="1" t="s">
        <v>99</v>
      </c>
      <c r="E114" s="1" t="s">
        <v>100</v>
      </c>
      <c r="F114" s="1" t="s">
        <v>101</v>
      </c>
      <c r="G114" s="1"/>
      <c r="H114" s="1" t="s">
        <v>65</v>
      </c>
      <c r="I114" s="1" t="s">
        <v>428</v>
      </c>
      <c r="J114" s="1">
        <v>21.0</v>
      </c>
      <c r="K114" s="1">
        <v>0.0</v>
      </c>
      <c r="L114" s="1">
        <v>2009.0</v>
      </c>
      <c r="M114" s="1"/>
      <c r="N114" s="1"/>
      <c r="O114" s="1">
        <v>2012.0</v>
      </c>
      <c r="P114" s="1" t="s">
        <v>214</v>
      </c>
      <c r="Q114" s="4" t="s">
        <v>51</v>
      </c>
      <c r="R114" s="1" t="s">
        <v>52</v>
      </c>
      <c r="S114" s="1" t="s">
        <v>30</v>
      </c>
      <c r="T114" s="4" t="s">
        <v>1647</v>
      </c>
      <c r="U114" s="1">
        <v>1150.0</v>
      </c>
      <c r="V114" s="1"/>
      <c r="W114" s="1"/>
      <c r="X114" s="4" t="s">
        <v>55</v>
      </c>
      <c r="Y114" s="4" t="s">
        <v>99</v>
      </c>
      <c r="Z114" s="4" t="s">
        <v>101</v>
      </c>
      <c r="AA114" s="1" t="s">
        <v>1648</v>
      </c>
      <c r="AB114" s="4" t="s">
        <v>1649</v>
      </c>
      <c r="AC114" s="1" t="s">
        <v>92</v>
      </c>
      <c r="AD114" s="1" t="s">
        <v>1246</v>
      </c>
      <c r="AE114" s="1" t="s">
        <v>1650</v>
      </c>
      <c r="AF114" s="4" t="s">
        <v>1651</v>
      </c>
      <c r="AG114" s="4" t="s">
        <v>62</v>
      </c>
      <c r="AH114" s="1">
        <v>6.0</v>
      </c>
      <c r="AI114" s="1">
        <v>7.0</v>
      </c>
      <c r="AJ114" s="1">
        <v>7.0</v>
      </c>
      <c r="AK114" s="1">
        <f t="shared" si="1"/>
        <v>20</v>
      </c>
      <c r="AL114" s="1">
        <v>1.0</v>
      </c>
      <c r="AM114" s="1">
        <v>336.0</v>
      </c>
      <c r="AN114" s="1">
        <f t="shared" si="2"/>
        <v>336</v>
      </c>
      <c r="AO114" s="1">
        <f t="shared" si="4"/>
        <v>1.00297619</v>
      </c>
      <c r="AP114" s="1"/>
    </row>
    <row r="115" ht="12.75" customHeight="1">
      <c r="A115" s="1" t="s">
        <v>1364</v>
      </c>
      <c r="B115" s="1" t="s">
        <v>1365</v>
      </c>
      <c r="C115" s="4" t="s">
        <v>44</v>
      </c>
      <c r="D115" s="1" t="s">
        <v>99</v>
      </c>
      <c r="E115" s="1" t="s">
        <v>100</v>
      </c>
      <c r="F115" s="1" t="s">
        <v>101</v>
      </c>
      <c r="G115" s="4" t="s">
        <v>1652</v>
      </c>
      <c r="H115" s="1" t="s">
        <v>65</v>
      </c>
      <c r="I115" s="1" t="s">
        <v>428</v>
      </c>
      <c r="J115" s="1">
        <v>21.0</v>
      </c>
      <c r="K115" s="1">
        <v>0.0</v>
      </c>
      <c r="L115" s="1">
        <v>2009.0</v>
      </c>
      <c r="M115" s="1"/>
      <c r="N115" s="1"/>
      <c r="O115" s="1">
        <v>2012.0</v>
      </c>
      <c r="P115" s="1" t="s">
        <v>214</v>
      </c>
      <c r="Q115" s="4" t="s">
        <v>51</v>
      </c>
      <c r="R115" s="1" t="s">
        <v>52</v>
      </c>
      <c r="S115" s="1" t="s">
        <v>30</v>
      </c>
      <c r="T115" s="4" t="s">
        <v>594</v>
      </c>
      <c r="U115" s="4">
        <v>1476.0</v>
      </c>
      <c r="V115" s="1"/>
      <c r="W115" s="1"/>
      <c r="X115" s="4" t="s">
        <v>55</v>
      </c>
      <c r="Y115" s="4" t="s">
        <v>99</v>
      </c>
      <c r="Z115" s="1" t="s">
        <v>178</v>
      </c>
      <c r="AA115" s="1" t="s">
        <v>595</v>
      </c>
      <c r="AB115" s="1" t="s">
        <v>595</v>
      </c>
      <c r="AC115" s="1" t="s">
        <v>92</v>
      </c>
      <c r="AD115" s="1" t="s">
        <v>594</v>
      </c>
      <c r="AE115" s="1" t="s">
        <v>60</v>
      </c>
      <c r="AF115" s="1" t="s">
        <v>1653</v>
      </c>
      <c r="AG115" s="4" t="s">
        <v>62</v>
      </c>
      <c r="AH115" s="1">
        <v>5.0</v>
      </c>
      <c r="AI115" s="1">
        <v>6.0</v>
      </c>
      <c r="AJ115" s="1">
        <v>4.0</v>
      </c>
      <c r="AK115" s="1">
        <f t="shared" si="1"/>
        <v>15</v>
      </c>
      <c r="AL115" s="1">
        <v>1.0</v>
      </c>
      <c r="AM115" s="1">
        <v>378.0</v>
      </c>
      <c r="AN115" s="1">
        <f t="shared" si="2"/>
        <v>378</v>
      </c>
      <c r="AO115" s="1">
        <f t="shared" si="4"/>
        <v>0.7526455026</v>
      </c>
      <c r="AP115" s="4" t="s">
        <v>1366</v>
      </c>
    </row>
    <row r="116" ht="12.75" customHeight="1">
      <c r="A116" s="4" t="s">
        <v>902</v>
      </c>
      <c r="B116" s="4" t="s">
        <v>903</v>
      </c>
      <c r="C116" s="4" t="s">
        <v>44</v>
      </c>
      <c r="D116" s="4" t="s">
        <v>99</v>
      </c>
      <c r="E116" s="4" t="s">
        <v>180</v>
      </c>
      <c r="F116" s="4" t="s">
        <v>181</v>
      </c>
      <c r="G116" s="4" t="s">
        <v>1654</v>
      </c>
      <c r="H116" s="4" t="s">
        <v>65</v>
      </c>
      <c r="I116" s="4" t="s">
        <v>1638</v>
      </c>
      <c r="J116" s="4">
        <v>20.0</v>
      </c>
      <c r="K116" s="4">
        <v>60.0</v>
      </c>
      <c r="L116" s="4">
        <v>1968.0</v>
      </c>
      <c r="M116" s="4">
        <v>20.0</v>
      </c>
      <c r="N116" s="4">
        <v>1.0</v>
      </c>
      <c r="O116" s="4">
        <v>2013.0</v>
      </c>
      <c r="P116" s="4" t="s">
        <v>214</v>
      </c>
      <c r="Q116" s="4" t="s">
        <v>51</v>
      </c>
      <c r="R116" s="4" t="s">
        <v>253</v>
      </c>
      <c r="S116" s="4" t="s">
        <v>262</v>
      </c>
      <c r="T116" s="4" t="s">
        <v>106</v>
      </c>
      <c r="U116" s="4">
        <v>2013.0</v>
      </c>
      <c r="V116" s="1"/>
      <c r="W116" s="1"/>
      <c r="X116" s="4" t="s">
        <v>139</v>
      </c>
      <c r="Y116" s="4" t="s">
        <v>139</v>
      </c>
      <c r="Z116" s="4" t="s">
        <v>139</v>
      </c>
      <c r="AA116" s="4" t="s">
        <v>139</v>
      </c>
      <c r="AB116" s="4" t="s">
        <v>139</v>
      </c>
      <c r="AC116" s="4" t="s">
        <v>172</v>
      </c>
      <c r="AD116" s="11" t="s">
        <v>60</v>
      </c>
      <c r="AE116" s="11" t="s">
        <v>60</v>
      </c>
      <c r="AF116" s="11" t="s">
        <v>60</v>
      </c>
      <c r="AG116" s="4" t="s">
        <v>62</v>
      </c>
      <c r="AH116" s="4">
        <v>5.0</v>
      </c>
      <c r="AI116" s="4">
        <v>5.0</v>
      </c>
      <c r="AJ116" s="4">
        <v>5.0</v>
      </c>
      <c r="AK116" s="1">
        <f t="shared" si="1"/>
        <v>15</v>
      </c>
      <c r="AL116" s="1">
        <v>1.0</v>
      </c>
      <c r="AM116" s="4">
        <v>335.0</v>
      </c>
      <c r="AN116" s="1">
        <f t="shared" si="2"/>
        <v>335</v>
      </c>
      <c r="AO116" s="1">
        <f t="shared" si="4"/>
        <v>0.7529850746</v>
      </c>
      <c r="AP116" s="4" t="s">
        <v>904</v>
      </c>
    </row>
    <row r="117" ht="12.75" customHeight="1">
      <c r="A117" s="4" t="s">
        <v>719</v>
      </c>
      <c r="B117" s="4" t="s">
        <v>720</v>
      </c>
      <c r="C117" s="4" t="s">
        <v>44</v>
      </c>
      <c r="D117" s="4" t="s">
        <v>45</v>
      </c>
      <c r="E117" s="8" t="s">
        <v>46</v>
      </c>
      <c r="F117" s="8" t="s">
        <v>47</v>
      </c>
      <c r="G117" s="1"/>
      <c r="H117" s="4" t="s">
        <v>65</v>
      </c>
      <c r="I117" s="4" t="s">
        <v>1655</v>
      </c>
      <c r="J117" s="4">
        <v>20.0</v>
      </c>
      <c r="K117" s="4">
        <v>80.0</v>
      </c>
      <c r="L117" s="4">
        <v>1985.0</v>
      </c>
      <c r="M117" s="4">
        <v>28.0</v>
      </c>
      <c r="N117" s="4">
        <v>12.0</v>
      </c>
      <c r="O117" s="4">
        <v>2013.0</v>
      </c>
      <c r="P117" s="4" t="s">
        <v>105</v>
      </c>
      <c r="Q117" s="4" t="s">
        <v>51</v>
      </c>
      <c r="R117" s="4" t="s">
        <v>253</v>
      </c>
      <c r="S117" s="4" t="s">
        <v>262</v>
      </c>
      <c r="T117" s="4" t="s">
        <v>106</v>
      </c>
      <c r="U117" s="4">
        <v>2013.0</v>
      </c>
      <c r="V117" s="1"/>
      <c r="W117" s="1"/>
      <c r="X117" s="4" t="s">
        <v>139</v>
      </c>
      <c r="Y117" s="4" t="s">
        <v>139</v>
      </c>
      <c r="Z117" s="4" t="s">
        <v>139</v>
      </c>
      <c r="AA117" s="4" t="s">
        <v>139</v>
      </c>
      <c r="AB117" s="4" t="s">
        <v>139</v>
      </c>
      <c r="AC117" s="4" t="s">
        <v>19</v>
      </c>
      <c r="AD117" s="11" t="s">
        <v>60</v>
      </c>
      <c r="AE117" s="11" t="s">
        <v>60</v>
      </c>
      <c r="AF117" s="11" t="s">
        <v>60</v>
      </c>
      <c r="AG117" s="4" t="s">
        <v>62</v>
      </c>
      <c r="AH117" s="4">
        <v>5.0</v>
      </c>
      <c r="AI117" s="4">
        <v>5.0</v>
      </c>
      <c r="AJ117" s="4">
        <v>5.0</v>
      </c>
      <c r="AK117" s="1">
        <f t="shared" si="1"/>
        <v>15</v>
      </c>
      <c r="AL117" s="1">
        <v>1.0</v>
      </c>
      <c r="AM117" s="4">
        <v>257.0</v>
      </c>
      <c r="AN117" s="1">
        <f t="shared" si="2"/>
        <v>257</v>
      </c>
      <c r="AO117" s="1">
        <f t="shared" si="4"/>
        <v>0.7538910506</v>
      </c>
      <c r="AP117" s="4" t="s">
        <v>721</v>
      </c>
    </row>
    <row r="118" ht="12.75" customHeight="1">
      <c r="A118" s="1" t="s">
        <v>948</v>
      </c>
      <c r="B118" s="1" t="s">
        <v>949</v>
      </c>
      <c r="C118" s="4" t="s">
        <v>44</v>
      </c>
      <c r="D118" s="1" t="s">
        <v>99</v>
      </c>
      <c r="E118" s="1" t="s">
        <v>180</v>
      </c>
      <c r="F118" s="1" t="s">
        <v>181</v>
      </c>
      <c r="G118" s="1"/>
      <c r="H118" s="1" t="s">
        <v>65</v>
      </c>
      <c r="I118" s="1" t="s">
        <v>547</v>
      </c>
      <c r="J118" s="1">
        <v>19.0</v>
      </c>
      <c r="K118" s="1">
        <v>0.0</v>
      </c>
      <c r="L118" s="1">
        <v>1800.0</v>
      </c>
      <c r="M118" s="1"/>
      <c r="N118" s="1"/>
      <c r="O118" s="1">
        <v>2013.0</v>
      </c>
      <c r="P118" s="1" t="s">
        <v>214</v>
      </c>
      <c r="Q118" s="4" t="s">
        <v>51</v>
      </c>
      <c r="R118" s="1" t="s">
        <v>274</v>
      </c>
      <c r="S118" s="1" t="s">
        <v>224</v>
      </c>
      <c r="T118" s="4" t="s">
        <v>1656</v>
      </c>
      <c r="U118" s="1">
        <v>1587.0</v>
      </c>
      <c r="V118" s="1"/>
      <c r="W118" s="1"/>
      <c r="X118" s="4" t="s">
        <v>55</v>
      </c>
      <c r="Y118" s="4" t="s">
        <v>99</v>
      </c>
      <c r="Z118" s="4" t="s">
        <v>101</v>
      </c>
      <c r="AA118" s="1" t="s">
        <v>1641</v>
      </c>
      <c r="AB118" s="4" t="s">
        <v>1641</v>
      </c>
      <c r="AC118" s="1" t="s">
        <v>69</v>
      </c>
      <c r="AD118" s="1" t="s">
        <v>1657</v>
      </c>
      <c r="AE118" s="1" t="s">
        <v>60</v>
      </c>
      <c r="AF118" s="1" t="s">
        <v>60</v>
      </c>
      <c r="AG118" s="4" t="s">
        <v>62</v>
      </c>
      <c r="AH118" s="1">
        <v>7.0</v>
      </c>
      <c r="AI118" s="1">
        <v>7.0</v>
      </c>
      <c r="AJ118" s="1">
        <v>7.0</v>
      </c>
      <c r="AK118" s="1">
        <f t="shared" si="1"/>
        <v>21</v>
      </c>
      <c r="AL118" s="1">
        <v>1.0</v>
      </c>
      <c r="AM118" s="1">
        <v>227.0</v>
      </c>
      <c r="AN118" s="1">
        <f t="shared" si="2"/>
        <v>227</v>
      </c>
      <c r="AO118" s="1">
        <f t="shared" si="4"/>
        <v>1.054405286</v>
      </c>
      <c r="AP118" s="4" t="s">
        <v>950</v>
      </c>
    </row>
    <row r="119" ht="12.75" customHeight="1">
      <c r="A119" s="1" t="s">
        <v>1556</v>
      </c>
      <c r="B119" s="4" t="s">
        <v>1557</v>
      </c>
      <c r="C119" s="4" t="s">
        <v>44</v>
      </c>
      <c r="D119" s="1" t="s">
        <v>99</v>
      </c>
      <c r="E119" s="1" t="s">
        <v>180</v>
      </c>
      <c r="F119" s="1" t="s">
        <v>181</v>
      </c>
      <c r="G119" s="4" t="s">
        <v>1658</v>
      </c>
      <c r="H119" s="1" t="s">
        <v>65</v>
      </c>
      <c r="I119" s="1" t="s">
        <v>547</v>
      </c>
      <c r="J119" s="1">
        <v>20.0</v>
      </c>
      <c r="K119" s="1">
        <v>10.0</v>
      </c>
      <c r="L119" s="1">
        <v>1912.0</v>
      </c>
      <c r="M119" s="1"/>
      <c r="N119" s="1"/>
      <c r="O119" s="1">
        <v>2013.0</v>
      </c>
      <c r="P119" s="1" t="s">
        <v>214</v>
      </c>
      <c r="Q119" s="4" t="s">
        <v>51</v>
      </c>
      <c r="R119" s="1" t="s">
        <v>52</v>
      </c>
      <c r="S119" s="1" t="s">
        <v>269</v>
      </c>
      <c r="T119" s="4" t="s">
        <v>1659</v>
      </c>
      <c r="U119" s="4">
        <v>1911.0</v>
      </c>
      <c r="V119" s="1"/>
      <c r="W119" s="1"/>
      <c r="X119" s="4" t="s">
        <v>55</v>
      </c>
      <c r="Y119" s="4" t="s">
        <v>99</v>
      </c>
      <c r="Z119" s="1" t="s">
        <v>178</v>
      </c>
      <c r="AA119" s="1" t="s">
        <v>1660</v>
      </c>
      <c r="AB119" s="1" t="s">
        <v>1660</v>
      </c>
      <c r="AC119" s="1" t="s">
        <v>58</v>
      </c>
      <c r="AD119" s="1" t="s">
        <v>385</v>
      </c>
      <c r="AE119" s="1" t="s">
        <v>60</v>
      </c>
      <c r="AF119" s="1" t="s">
        <v>60</v>
      </c>
      <c r="AG119" s="4" t="s">
        <v>62</v>
      </c>
      <c r="AH119" s="1">
        <v>6.0</v>
      </c>
      <c r="AI119" s="1">
        <v>6.0</v>
      </c>
      <c r="AJ119" s="1">
        <v>6.0</v>
      </c>
      <c r="AK119" s="1">
        <f t="shared" si="1"/>
        <v>18</v>
      </c>
      <c r="AL119" s="1">
        <v>1.0</v>
      </c>
      <c r="AM119" s="1">
        <v>170.0</v>
      </c>
      <c r="AN119" s="1">
        <f t="shared" si="2"/>
        <v>170</v>
      </c>
      <c r="AO119" s="1">
        <f t="shared" si="4"/>
        <v>0.9058823529</v>
      </c>
      <c r="AP119" s="4" t="s">
        <v>1558</v>
      </c>
    </row>
    <row r="120" ht="12.75" customHeight="1">
      <c r="A120" s="1" t="s">
        <v>1169</v>
      </c>
      <c r="B120" s="1" t="s">
        <v>1170</v>
      </c>
      <c r="C120" s="4" t="s">
        <v>44</v>
      </c>
      <c r="D120" s="1" t="s">
        <v>99</v>
      </c>
      <c r="E120" s="1" t="s">
        <v>100</v>
      </c>
      <c r="F120" s="1" t="s">
        <v>101</v>
      </c>
      <c r="G120" s="1"/>
      <c r="H120" s="1" t="s">
        <v>65</v>
      </c>
      <c r="I120" s="1" t="s">
        <v>103</v>
      </c>
      <c r="J120" s="1">
        <v>20.0</v>
      </c>
      <c r="K120" s="1">
        <v>80.0</v>
      </c>
      <c r="L120" s="1">
        <v>1989.0</v>
      </c>
      <c r="M120" s="1"/>
      <c r="N120" s="1"/>
      <c r="O120" s="1">
        <v>2013.0</v>
      </c>
      <c r="P120" s="1" t="s">
        <v>105</v>
      </c>
      <c r="Q120" s="4" t="s">
        <v>51</v>
      </c>
      <c r="R120" s="1" t="s">
        <v>52</v>
      </c>
      <c r="S120" s="1" t="s">
        <v>301</v>
      </c>
      <c r="T120" s="4" t="s">
        <v>1661</v>
      </c>
      <c r="U120" s="1">
        <v>1150.0</v>
      </c>
      <c r="V120" s="1"/>
      <c r="W120" s="1"/>
      <c r="X120" s="4" t="s">
        <v>55</v>
      </c>
      <c r="Y120" s="4" t="s">
        <v>99</v>
      </c>
      <c r="Z120" s="4" t="s">
        <v>101</v>
      </c>
      <c r="AA120" s="4" t="s">
        <v>1662</v>
      </c>
      <c r="AB120" s="4" t="s">
        <v>1662</v>
      </c>
      <c r="AC120" s="1" t="s">
        <v>92</v>
      </c>
      <c r="AD120" s="1" t="s">
        <v>1663</v>
      </c>
      <c r="AE120" s="1" t="s">
        <v>60</v>
      </c>
      <c r="AF120" s="1" t="s">
        <v>60</v>
      </c>
      <c r="AG120" s="4" t="s">
        <v>62</v>
      </c>
      <c r="AH120" s="1">
        <v>7.0</v>
      </c>
      <c r="AI120" s="1">
        <v>8.0</v>
      </c>
      <c r="AJ120" s="1">
        <v>7.0</v>
      </c>
      <c r="AK120" s="1">
        <f t="shared" si="1"/>
        <v>22</v>
      </c>
      <c r="AL120" s="1">
        <v>1.0</v>
      </c>
      <c r="AM120" s="1">
        <v>941.0</v>
      </c>
      <c r="AN120" s="1">
        <f t="shared" si="2"/>
        <v>941</v>
      </c>
      <c r="AO120" s="1">
        <f t="shared" si="4"/>
        <v>1.101062699</v>
      </c>
      <c r="AP120" s="1"/>
    </row>
    <row r="121" ht="12.75" customHeight="1">
      <c r="A121" s="1" t="s">
        <v>510</v>
      </c>
      <c r="B121" s="1" t="s">
        <v>744</v>
      </c>
      <c r="C121" s="4" t="s">
        <v>44</v>
      </c>
      <c r="D121" s="1" t="s">
        <v>99</v>
      </c>
      <c r="E121" s="1" t="s">
        <v>100</v>
      </c>
      <c r="F121" s="1" t="s">
        <v>101</v>
      </c>
      <c r="G121" s="1"/>
      <c r="H121" s="1" t="s">
        <v>65</v>
      </c>
      <c r="I121" s="1" t="s">
        <v>428</v>
      </c>
      <c r="J121" s="1">
        <v>20.0</v>
      </c>
      <c r="K121" s="1">
        <v>90.0</v>
      </c>
      <c r="L121" s="1">
        <v>1995.0</v>
      </c>
      <c r="M121" s="1"/>
      <c r="N121" s="1"/>
      <c r="O121" s="1">
        <v>2013.0</v>
      </c>
      <c r="P121" s="1" t="s">
        <v>214</v>
      </c>
      <c r="Q121" s="4" t="s">
        <v>51</v>
      </c>
      <c r="R121" s="1" t="s">
        <v>52</v>
      </c>
      <c r="S121" s="1" t="s">
        <v>301</v>
      </c>
      <c r="T121" s="4" t="s">
        <v>469</v>
      </c>
      <c r="U121" s="1">
        <v>550.0</v>
      </c>
      <c r="V121" s="1"/>
      <c r="W121" s="1"/>
      <c r="X121" s="4" t="s">
        <v>55</v>
      </c>
      <c r="Y121" s="4" t="s">
        <v>99</v>
      </c>
      <c r="Z121" s="4" t="s">
        <v>101</v>
      </c>
      <c r="AA121" s="4" t="s">
        <v>470</v>
      </c>
      <c r="AB121" s="4" t="s">
        <v>471</v>
      </c>
      <c r="AC121" s="1" t="s">
        <v>92</v>
      </c>
      <c r="AD121" s="1" t="s">
        <v>1</v>
      </c>
      <c r="AE121" s="1" t="s">
        <v>1664</v>
      </c>
      <c r="AF121" s="1" t="s">
        <v>1665</v>
      </c>
      <c r="AG121" s="4" t="s">
        <v>62</v>
      </c>
      <c r="AH121" s="1">
        <v>8.0</v>
      </c>
      <c r="AI121" s="1">
        <v>8.0</v>
      </c>
      <c r="AJ121" s="1">
        <v>8.0</v>
      </c>
      <c r="AK121" s="1">
        <f t="shared" si="1"/>
        <v>24</v>
      </c>
      <c r="AL121" s="1">
        <v>1.0</v>
      </c>
      <c r="AM121" s="1">
        <v>546.0</v>
      </c>
      <c r="AN121" s="1">
        <f t="shared" si="2"/>
        <v>546</v>
      </c>
      <c r="AO121" s="1">
        <f t="shared" si="4"/>
        <v>1.201831502</v>
      </c>
      <c r="AP121" s="4" t="s">
        <v>745</v>
      </c>
    </row>
    <row r="122" ht="12.75" customHeight="1">
      <c r="A122" s="1" t="s">
        <v>510</v>
      </c>
      <c r="B122" s="1" t="s">
        <v>746</v>
      </c>
      <c r="C122" s="4" t="s">
        <v>44</v>
      </c>
      <c r="D122" s="1" t="s">
        <v>99</v>
      </c>
      <c r="E122" s="1" t="s">
        <v>100</v>
      </c>
      <c r="F122" s="1" t="s">
        <v>101</v>
      </c>
      <c r="G122" s="1"/>
      <c r="H122" s="1" t="s">
        <v>65</v>
      </c>
      <c r="I122" s="1" t="s">
        <v>428</v>
      </c>
      <c r="J122" s="1">
        <v>20.0</v>
      </c>
      <c r="K122" s="1">
        <v>90.0</v>
      </c>
      <c r="L122" s="1">
        <v>1996.0</v>
      </c>
      <c r="M122" s="1"/>
      <c r="N122" s="1"/>
      <c r="O122" s="1">
        <v>2013.0</v>
      </c>
      <c r="P122" s="1" t="s">
        <v>214</v>
      </c>
      <c r="Q122" s="4" t="s">
        <v>51</v>
      </c>
      <c r="R122" s="1" t="s">
        <v>52</v>
      </c>
      <c r="S122" s="1" t="s">
        <v>301</v>
      </c>
      <c r="T122" s="4" t="s">
        <v>469</v>
      </c>
      <c r="U122" s="1">
        <v>550.0</v>
      </c>
      <c r="V122" s="1"/>
      <c r="W122" s="1"/>
      <c r="X122" s="4" t="s">
        <v>55</v>
      </c>
      <c r="Y122" s="4" t="s">
        <v>99</v>
      </c>
      <c r="Z122" s="4" t="s">
        <v>101</v>
      </c>
      <c r="AA122" s="4" t="s">
        <v>470</v>
      </c>
      <c r="AB122" s="4" t="s">
        <v>471</v>
      </c>
      <c r="AC122" s="1" t="s">
        <v>92</v>
      </c>
      <c r="AD122" s="1" t="s">
        <v>1</v>
      </c>
      <c r="AE122" s="1" t="s">
        <v>1664</v>
      </c>
      <c r="AF122" s="1" t="s">
        <v>1665</v>
      </c>
      <c r="AG122" s="4" t="s">
        <v>62</v>
      </c>
      <c r="AH122" s="1">
        <v>8.0</v>
      </c>
      <c r="AI122" s="1">
        <v>8.0</v>
      </c>
      <c r="AJ122" s="1">
        <v>8.0</v>
      </c>
      <c r="AK122" s="1">
        <f t="shared" si="1"/>
        <v>24</v>
      </c>
      <c r="AL122" s="1">
        <v>1.0</v>
      </c>
      <c r="AM122" s="1">
        <v>518.0</v>
      </c>
      <c r="AN122" s="1">
        <f t="shared" si="2"/>
        <v>518</v>
      </c>
      <c r="AO122" s="1">
        <f t="shared" si="4"/>
        <v>1.201930502</v>
      </c>
      <c r="AP122" s="4" t="s">
        <v>747</v>
      </c>
    </row>
    <row r="123" ht="12.75" customHeight="1">
      <c r="A123" s="1" t="s">
        <v>510</v>
      </c>
      <c r="B123" s="1" t="s">
        <v>748</v>
      </c>
      <c r="C123" s="4" t="s">
        <v>44</v>
      </c>
      <c r="D123" s="1" t="s">
        <v>99</v>
      </c>
      <c r="E123" s="1" t="s">
        <v>100</v>
      </c>
      <c r="F123" s="1" t="s">
        <v>101</v>
      </c>
      <c r="G123" s="1"/>
      <c r="H123" s="1" t="s">
        <v>65</v>
      </c>
      <c r="I123" s="1" t="s">
        <v>428</v>
      </c>
      <c r="J123" s="1">
        <v>20.0</v>
      </c>
      <c r="K123" s="1">
        <v>90.0</v>
      </c>
      <c r="L123" s="1">
        <v>1997.0</v>
      </c>
      <c r="M123" s="1"/>
      <c r="N123" s="1"/>
      <c r="O123" s="1">
        <v>2013.0</v>
      </c>
      <c r="P123" s="1" t="s">
        <v>214</v>
      </c>
      <c r="Q123" s="4" t="s">
        <v>51</v>
      </c>
      <c r="R123" s="1" t="s">
        <v>52</v>
      </c>
      <c r="S123" s="1" t="s">
        <v>301</v>
      </c>
      <c r="T123" s="4" t="s">
        <v>469</v>
      </c>
      <c r="U123" s="1">
        <v>550.0</v>
      </c>
      <c r="V123" s="1"/>
      <c r="W123" s="1"/>
      <c r="X123" s="4" t="s">
        <v>55</v>
      </c>
      <c r="Y123" s="4" t="s">
        <v>99</v>
      </c>
      <c r="Z123" s="4" t="s">
        <v>101</v>
      </c>
      <c r="AA123" s="4" t="s">
        <v>470</v>
      </c>
      <c r="AB123" s="4" t="s">
        <v>471</v>
      </c>
      <c r="AC123" s="1" t="s">
        <v>92</v>
      </c>
      <c r="AD123" s="1" t="s">
        <v>1</v>
      </c>
      <c r="AE123" s="1" t="s">
        <v>1664</v>
      </c>
      <c r="AF123" s="1" t="s">
        <v>1665</v>
      </c>
      <c r="AG123" s="4" t="s">
        <v>62</v>
      </c>
      <c r="AH123" s="1">
        <v>8.0</v>
      </c>
      <c r="AI123" s="1">
        <v>7.0</v>
      </c>
      <c r="AJ123" s="1">
        <v>7.0</v>
      </c>
      <c r="AK123" s="1">
        <f t="shared" si="1"/>
        <v>22</v>
      </c>
      <c r="AL123" s="1">
        <v>1.0</v>
      </c>
      <c r="AM123" s="1">
        <v>532.0</v>
      </c>
      <c r="AN123" s="1">
        <f t="shared" si="2"/>
        <v>532</v>
      </c>
      <c r="AO123" s="1">
        <f t="shared" si="4"/>
        <v>1.101879699</v>
      </c>
      <c r="AP123" s="4" t="s">
        <v>749</v>
      </c>
    </row>
    <row r="124" ht="12.75" customHeight="1">
      <c r="A124" s="1" t="s">
        <v>1003</v>
      </c>
      <c r="B124" s="1" t="s">
        <v>1005</v>
      </c>
      <c r="C124" s="4" t="s">
        <v>44</v>
      </c>
      <c r="D124" s="1" t="s">
        <v>45</v>
      </c>
      <c r="E124" s="1" t="s">
        <v>46</v>
      </c>
      <c r="F124" s="1" t="s">
        <v>47</v>
      </c>
      <c r="G124" s="1" t="s">
        <v>1005</v>
      </c>
      <c r="H124" s="1" t="s">
        <v>65</v>
      </c>
      <c r="I124" s="1" t="s">
        <v>399</v>
      </c>
      <c r="J124" s="1">
        <v>21.0</v>
      </c>
      <c r="K124" s="1">
        <v>0.0</v>
      </c>
      <c r="L124" s="1">
        <v>2000.0</v>
      </c>
      <c r="M124" s="1"/>
      <c r="N124" s="1"/>
      <c r="O124" s="1">
        <v>2013.0</v>
      </c>
      <c r="P124" s="1" t="s">
        <v>214</v>
      </c>
      <c r="Q124" s="4" t="s">
        <v>51</v>
      </c>
      <c r="R124" s="1" t="s">
        <v>136</v>
      </c>
      <c r="S124" s="1" t="s">
        <v>136</v>
      </c>
      <c r="T124" s="4" t="s">
        <v>1666</v>
      </c>
      <c r="U124" s="1">
        <v>1948.0</v>
      </c>
      <c r="V124" s="1">
        <v>1.0</v>
      </c>
      <c r="W124" s="1">
        <v>30.0</v>
      </c>
      <c r="X124" s="4" t="s">
        <v>55</v>
      </c>
      <c r="Y124" s="4" t="s">
        <v>148</v>
      </c>
      <c r="Z124" s="1" t="s">
        <v>151</v>
      </c>
      <c r="AA124" s="4" t="s">
        <v>1667</v>
      </c>
      <c r="AB124" s="4" t="s">
        <v>1667</v>
      </c>
      <c r="AC124" s="1" t="s">
        <v>69</v>
      </c>
      <c r="AD124" s="1" t="s">
        <v>580</v>
      </c>
      <c r="AE124" s="1" t="s">
        <v>60</v>
      </c>
      <c r="AF124" s="1" t="s">
        <v>60</v>
      </c>
      <c r="AG124" s="4" t="s">
        <v>62</v>
      </c>
      <c r="AH124" s="1">
        <v>6.0</v>
      </c>
      <c r="AI124" s="1">
        <v>6.0</v>
      </c>
      <c r="AJ124" s="1">
        <v>6.0</v>
      </c>
      <c r="AK124" s="1">
        <f t="shared" si="1"/>
        <v>18</v>
      </c>
      <c r="AL124" s="1">
        <v>1.0</v>
      </c>
      <c r="AM124" s="1">
        <v>287.0</v>
      </c>
      <c r="AN124" s="1">
        <f t="shared" si="2"/>
        <v>287</v>
      </c>
      <c r="AO124" s="1">
        <f t="shared" si="4"/>
        <v>0.9034843206</v>
      </c>
      <c r="AP124" s="4" t="s">
        <v>1006</v>
      </c>
    </row>
    <row r="125" ht="12.75" customHeight="1">
      <c r="A125" s="1" t="s">
        <v>958</v>
      </c>
      <c r="B125" s="1" t="s">
        <v>965</v>
      </c>
      <c r="C125" s="4" t="s">
        <v>44</v>
      </c>
      <c r="D125" s="1" t="s">
        <v>45</v>
      </c>
      <c r="E125" s="4" t="s">
        <v>124</v>
      </c>
      <c r="F125" s="1" t="s">
        <v>126</v>
      </c>
      <c r="G125" s="1"/>
      <c r="H125" s="1" t="s">
        <v>65</v>
      </c>
      <c r="I125" s="1" t="s">
        <v>1222</v>
      </c>
      <c r="J125" s="1">
        <v>21.0</v>
      </c>
      <c r="K125" s="1">
        <v>0.0</v>
      </c>
      <c r="L125" s="1">
        <v>2005.0</v>
      </c>
      <c r="M125" s="1"/>
      <c r="N125" s="1"/>
      <c r="O125" s="1">
        <v>2013.0</v>
      </c>
      <c r="P125" s="1" t="s">
        <v>105</v>
      </c>
      <c r="Q125" s="4" t="s">
        <v>51</v>
      </c>
      <c r="R125" s="1" t="s">
        <v>52</v>
      </c>
      <c r="S125" s="1" t="s">
        <v>30</v>
      </c>
      <c r="T125" s="1" t="s">
        <v>60</v>
      </c>
      <c r="U125" s="4">
        <v>300.0</v>
      </c>
      <c r="V125" s="1"/>
      <c r="W125" s="1"/>
      <c r="X125" s="4" t="s">
        <v>30</v>
      </c>
      <c r="Y125" s="4" t="s">
        <v>30</v>
      </c>
      <c r="Z125" s="1" t="s">
        <v>1223</v>
      </c>
      <c r="AA125" s="1" t="s">
        <v>1223</v>
      </c>
      <c r="AB125" s="1" t="s">
        <v>1225</v>
      </c>
      <c r="AC125" s="1" t="s">
        <v>261</v>
      </c>
      <c r="AD125" s="1" t="s">
        <v>174</v>
      </c>
      <c r="AE125" s="1" t="s">
        <v>112</v>
      </c>
      <c r="AF125" s="1" t="s">
        <v>1227</v>
      </c>
      <c r="AG125" s="4" t="s">
        <v>62</v>
      </c>
      <c r="AH125" s="1">
        <v>7.0</v>
      </c>
      <c r="AI125" s="1">
        <v>7.0</v>
      </c>
      <c r="AJ125" s="1">
        <v>7.0</v>
      </c>
      <c r="AK125" s="1">
        <f t="shared" si="1"/>
        <v>21</v>
      </c>
      <c r="AL125" s="1">
        <v>1.0</v>
      </c>
      <c r="AM125" s="1">
        <v>644.0</v>
      </c>
      <c r="AN125" s="1">
        <f t="shared" si="2"/>
        <v>644</v>
      </c>
      <c r="AO125" s="1">
        <f t="shared" si="4"/>
        <v>1.051552795</v>
      </c>
      <c r="AP125" s="4" t="s">
        <v>966</v>
      </c>
    </row>
    <row r="126" ht="12.75" customHeight="1">
      <c r="A126" s="1" t="s">
        <v>1403</v>
      </c>
      <c r="B126" s="1" t="s">
        <v>1404</v>
      </c>
      <c r="C126" s="4" t="s">
        <v>44</v>
      </c>
      <c r="D126" s="1" t="s">
        <v>45</v>
      </c>
      <c r="E126" s="1" t="s">
        <v>46</v>
      </c>
      <c r="F126" s="1" t="s">
        <v>47</v>
      </c>
      <c r="G126" s="1" t="s">
        <v>1404</v>
      </c>
      <c r="H126" s="1" t="s">
        <v>65</v>
      </c>
      <c r="I126" s="1" t="s">
        <v>1668</v>
      </c>
      <c r="J126" s="1">
        <v>21.0</v>
      </c>
      <c r="K126" s="1">
        <v>0.0</v>
      </c>
      <c r="L126" s="1">
        <v>2006.0</v>
      </c>
      <c r="M126" s="1"/>
      <c r="N126" s="1"/>
      <c r="O126" s="1">
        <v>2013.0</v>
      </c>
      <c r="P126" s="1" t="s">
        <v>1644</v>
      </c>
      <c r="Q126" s="4" t="s">
        <v>51</v>
      </c>
      <c r="R126" s="1" t="s">
        <v>136</v>
      </c>
      <c r="S126" s="1" t="s">
        <v>136</v>
      </c>
      <c r="T126" s="4" t="s">
        <v>91</v>
      </c>
      <c r="U126" s="1">
        <v>2000.0</v>
      </c>
      <c r="V126" s="1"/>
      <c r="W126" s="1"/>
      <c r="X126" s="4" t="s">
        <v>55</v>
      </c>
      <c r="Y126" s="4" t="s">
        <v>45</v>
      </c>
      <c r="Z126" s="1" t="s">
        <v>47</v>
      </c>
      <c r="AA126" s="4" t="s">
        <v>226</v>
      </c>
      <c r="AB126" s="4" t="s">
        <v>1030</v>
      </c>
      <c r="AC126" s="1" t="s">
        <v>69</v>
      </c>
      <c r="AD126" s="1" t="s">
        <v>498</v>
      </c>
      <c r="AE126" s="1" t="s">
        <v>60</v>
      </c>
      <c r="AF126" s="1" t="s">
        <v>60</v>
      </c>
      <c r="AG126" s="4" t="s">
        <v>62</v>
      </c>
      <c r="AH126" s="1">
        <v>6.0</v>
      </c>
      <c r="AI126" s="1">
        <v>6.0</v>
      </c>
      <c r="AJ126" s="1">
        <v>6.0</v>
      </c>
      <c r="AK126" s="1">
        <f t="shared" si="1"/>
        <v>18</v>
      </c>
      <c r="AL126" s="1">
        <v>1.0</v>
      </c>
      <c r="AM126" s="1">
        <v>504.0</v>
      </c>
      <c r="AN126" s="1">
        <f t="shared" si="2"/>
        <v>504</v>
      </c>
      <c r="AO126" s="1">
        <f t="shared" si="4"/>
        <v>0.901984127</v>
      </c>
      <c r="AP126" s="4" t="s">
        <v>1405</v>
      </c>
    </row>
    <row r="127" ht="12.75" customHeight="1">
      <c r="A127" s="1" t="s">
        <v>958</v>
      </c>
      <c r="B127" s="1" t="s">
        <v>967</v>
      </c>
      <c r="C127" s="4" t="s">
        <v>44</v>
      </c>
      <c r="D127" s="1" t="s">
        <v>45</v>
      </c>
      <c r="E127" s="4" t="s">
        <v>124</v>
      </c>
      <c r="F127" s="1" t="s">
        <v>126</v>
      </c>
      <c r="G127" s="1"/>
      <c r="H127" s="1" t="s">
        <v>65</v>
      </c>
      <c r="I127" s="1" t="s">
        <v>1222</v>
      </c>
      <c r="J127" s="1">
        <v>21.0</v>
      </c>
      <c r="K127" s="1">
        <v>10.0</v>
      </c>
      <c r="L127" s="1">
        <v>2011.0</v>
      </c>
      <c r="M127" s="1"/>
      <c r="N127" s="1"/>
      <c r="O127" s="1">
        <v>2013.0</v>
      </c>
      <c r="P127" s="1" t="s">
        <v>105</v>
      </c>
      <c r="Q127" s="4" t="s">
        <v>51</v>
      </c>
      <c r="R127" s="1" t="s">
        <v>52</v>
      </c>
      <c r="S127" s="1" t="s">
        <v>30</v>
      </c>
      <c r="T127" s="1" t="s">
        <v>60</v>
      </c>
      <c r="U127" s="4">
        <v>301.0</v>
      </c>
      <c r="V127" s="1"/>
      <c r="W127" s="1"/>
      <c r="X127" s="4" t="s">
        <v>30</v>
      </c>
      <c r="Y127" s="4" t="s">
        <v>30</v>
      </c>
      <c r="Z127" s="1" t="s">
        <v>1223</v>
      </c>
      <c r="AA127" s="1" t="s">
        <v>1223</v>
      </c>
      <c r="AB127" s="1" t="s">
        <v>1225</v>
      </c>
      <c r="AC127" s="1" t="s">
        <v>261</v>
      </c>
      <c r="AD127" s="1" t="s">
        <v>174</v>
      </c>
      <c r="AE127" s="1" t="s">
        <v>112</v>
      </c>
      <c r="AF127" s="1" t="s">
        <v>1227</v>
      </c>
      <c r="AG127" s="4" t="s">
        <v>62</v>
      </c>
      <c r="AH127" s="1">
        <v>7.0</v>
      </c>
      <c r="AI127" s="1">
        <v>7.0</v>
      </c>
      <c r="AJ127" s="1">
        <v>8.0</v>
      </c>
      <c r="AK127" s="1">
        <f t="shared" si="1"/>
        <v>22</v>
      </c>
      <c r="AL127" s="1">
        <v>1.0</v>
      </c>
      <c r="AM127" s="1">
        <v>872.0</v>
      </c>
      <c r="AN127" s="1">
        <f t="shared" si="2"/>
        <v>872</v>
      </c>
      <c r="AO127" s="1">
        <f t="shared" si="4"/>
        <v>1.101146789</v>
      </c>
      <c r="AP127" s="4" t="s">
        <v>968</v>
      </c>
    </row>
    <row r="128" ht="12.75" customHeight="1">
      <c r="A128" s="4" t="s">
        <v>1187</v>
      </c>
      <c r="B128" s="4" t="s">
        <v>1188</v>
      </c>
      <c r="C128" s="4" t="s">
        <v>44</v>
      </c>
      <c r="D128" s="4" t="s">
        <v>45</v>
      </c>
      <c r="E128" s="8" t="s">
        <v>46</v>
      </c>
      <c r="F128" s="8" t="s">
        <v>47</v>
      </c>
      <c r="G128" s="1"/>
      <c r="H128" s="4" t="s">
        <v>65</v>
      </c>
      <c r="I128" s="4" t="s">
        <v>1669</v>
      </c>
      <c r="J128" s="4">
        <v>21.0</v>
      </c>
      <c r="K128" s="4">
        <v>10.0</v>
      </c>
      <c r="L128" s="4">
        <v>2011.0</v>
      </c>
      <c r="M128" s="4">
        <v>9.0</v>
      </c>
      <c r="N128" s="4">
        <v>3.0</v>
      </c>
      <c r="O128" s="4">
        <v>2014.0</v>
      </c>
      <c r="P128" s="4" t="s">
        <v>214</v>
      </c>
      <c r="Q128" s="4" t="s">
        <v>51</v>
      </c>
      <c r="R128" s="4" t="s">
        <v>253</v>
      </c>
      <c r="S128" s="4" t="s">
        <v>217</v>
      </c>
      <c r="T128" s="4" t="s">
        <v>91</v>
      </c>
      <c r="U128" s="4">
        <v>2014.0</v>
      </c>
      <c r="V128" s="1"/>
      <c r="W128" s="1"/>
      <c r="X128" s="4" t="s">
        <v>139</v>
      </c>
      <c r="Y128" s="4" t="s">
        <v>139</v>
      </c>
      <c r="Z128" s="4" t="s">
        <v>139</v>
      </c>
      <c r="AA128" s="4" t="s">
        <v>139</v>
      </c>
      <c r="AB128" s="4" t="s">
        <v>139</v>
      </c>
      <c r="AC128" s="4" t="s">
        <v>1670</v>
      </c>
      <c r="AD128" s="11" t="s">
        <v>60</v>
      </c>
      <c r="AE128" s="11" t="s">
        <v>60</v>
      </c>
      <c r="AF128" s="11" t="s">
        <v>60</v>
      </c>
      <c r="AG128" s="4" t="s">
        <v>62</v>
      </c>
      <c r="AH128" s="4">
        <v>7.0</v>
      </c>
      <c r="AI128" s="4">
        <v>7.0</v>
      </c>
      <c r="AJ128" s="4">
        <v>6.0</v>
      </c>
      <c r="AK128" s="1">
        <f t="shared" si="1"/>
        <v>20</v>
      </c>
      <c r="AL128" s="1">
        <v>1.0</v>
      </c>
      <c r="AM128" s="4">
        <v>336.0</v>
      </c>
      <c r="AN128" s="1">
        <f t="shared" si="2"/>
        <v>336</v>
      </c>
      <c r="AO128" s="1">
        <f t="shared" si="4"/>
        <v>1.00297619</v>
      </c>
      <c r="AP128" s="4" t="s">
        <v>1189</v>
      </c>
    </row>
    <row r="129" ht="12.75" customHeight="1">
      <c r="A129" s="4" t="s">
        <v>1547</v>
      </c>
      <c r="B129" s="4" t="s">
        <v>1548</v>
      </c>
      <c r="C129" s="4" t="s">
        <v>44</v>
      </c>
      <c r="D129" s="4" t="s">
        <v>45</v>
      </c>
      <c r="E129" s="4" t="s">
        <v>124</v>
      </c>
      <c r="F129" s="4" t="s">
        <v>126</v>
      </c>
      <c r="G129" s="1"/>
      <c r="H129" s="4" t="s">
        <v>65</v>
      </c>
      <c r="I129" s="4" t="s">
        <v>1671</v>
      </c>
      <c r="J129" s="4">
        <v>19.0</v>
      </c>
      <c r="K129" s="4">
        <v>50.0</v>
      </c>
      <c r="L129" s="4">
        <v>1855.0</v>
      </c>
      <c r="M129" s="4">
        <v>23.0</v>
      </c>
      <c r="N129" s="4">
        <v>3.0</v>
      </c>
      <c r="O129" s="4">
        <v>2014.0</v>
      </c>
      <c r="P129" s="4" t="s">
        <v>214</v>
      </c>
      <c r="Q129" s="4" t="s">
        <v>51</v>
      </c>
      <c r="R129" s="4" t="s">
        <v>253</v>
      </c>
      <c r="S129" s="4" t="s">
        <v>259</v>
      </c>
      <c r="T129" s="4" t="s">
        <v>1672</v>
      </c>
      <c r="U129" s="4">
        <v>-500.0</v>
      </c>
      <c r="V129" s="1"/>
      <c r="W129" s="1"/>
      <c r="X129" s="4" t="s">
        <v>55</v>
      </c>
      <c r="Y129" s="4" t="s">
        <v>99</v>
      </c>
      <c r="Z129" s="4" t="s">
        <v>176</v>
      </c>
      <c r="AA129" s="4" t="s">
        <v>176</v>
      </c>
      <c r="AB129" s="4" t="s">
        <v>176</v>
      </c>
      <c r="AC129" s="4" t="s">
        <v>1673</v>
      </c>
      <c r="AD129" s="11" t="s">
        <v>60</v>
      </c>
      <c r="AE129" s="11" t="s">
        <v>60</v>
      </c>
      <c r="AF129" s="11" t="s">
        <v>60</v>
      </c>
      <c r="AG129" s="4" t="s">
        <v>62</v>
      </c>
      <c r="AH129" s="4">
        <v>7.0</v>
      </c>
      <c r="AI129" s="4">
        <v>7.0</v>
      </c>
      <c r="AJ129" s="4">
        <v>6.0</v>
      </c>
      <c r="AK129" s="1">
        <f t="shared" si="1"/>
        <v>20</v>
      </c>
      <c r="AL129" s="1">
        <v>1.0</v>
      </c>
      <c r="AM129" s="4">
        <v>316.0</v>
      </c>
      <c r="AN129" s="1">
        <f t="shared" si="2"/>
        <v>316</v>
      </c>
      <c r="AO129" s="1">
        <f t="shared" si="4"/>
        <v>1.003164557</v>
      </c>
      <c r="AP129" s="4" t="s">
        <v>1549</v>
      </c>
    </row>
    <row r="130" ht="12.75" customHeight="1">
      <c r="A130" s="1" t="s">
        <v>1409</v>
      </c>
      <c r="B130" s="1" t="s">
        <v>1410</v>
      </c>
      <c r="C130" s="4" t="s">
        <v>44</v>
      </c>
      <c r="D130" s="1" t="s">
        <v>45</v>
      </c>
      <c r="E130" s="4" t="s">
        <v>124</v>
      </c>
      <c r="F130" s="1" t="s">
        <v>126</v>
      </c>
      <c r="G130" s="1"/>
      <c r="H130" s="1" t="s">
        <v>65</v>
      </c>
      <c r="I130" s="1" t="s">
        <v>389</v>
      </c>
      <c r="J130" s="1">
        <v>21.0</v>
      </c>
      <c r="K130" s="1">
        <v>10.0</v>
      </c>
      <c r="L130" s="1">
        <v>2010.0</v>
      </c>
      <c r="M130" s="1"/>
      <c r="N130" s="1"/>
      <c r="O130" s="1">
        <v>2014.0</v>
      </c>
      <c r="P130" s="1" t="s">
        <v>214</v>
      </c>
      <c r="Q130" s="4" t="s">
        <v>51</v>
      </c>
      <c r="R130" s="1" t="s">
        <v>52</v>
      </c>
      <c r="S130" s="1" t="s">
        <v>30</v>
      </c>
      <c r="T130" s="4" t="s">
        <v>106</v>
      </c>
      <c r="U130" s="1">
        <v>2010.0</v>
      </c>
      <c r="V130" s="1"/>
      <c r="W130" s="1"/>
      <c r="X130" s="4" t="s">
        <v>55</v>
      </c>
      <c r="Y130" s="4" t="s">
        <v>45</v>
      </c>
      <c r="Z130" s="1" t="s">
        <v>126</v>
      </c>
      <c r="AA130" s="1" t="s">
        <v>1674</v>
      </c>
      <c r="AB130" s="1" t="s">
        <v>1675</v>
      </c>
      <c r="AC130" s="1" t="s">
        <v>261</v>
      </c>
      <c r="AD130" s="1" t="s">
        <v>1676</v>
      </c>
      <c r="AE130" s="1" t="s">
        <v>1677</v>
      </c>
      <c r="AF130" s="1" t="s">
        <v>60</v>
      </c>
      <c r="AG130" s="4" t="s">
        <v>62</v>
      </c>
      <c r="AH130" s="1">
        <v>6.0</v>
      </c>
      <c r="AI130" s="1">
        <v>7.0</v>
      </c>
      <c r="AJ130" s="1">
        <v>6.0</v>
      </c>
      <c r="AK130" s="1">
        <f t="shared" si="1"/>
        <v>19</v>
      </c>
      <c r="AL130" s="1">
        <v>1.0</v>
      </c>
      <c r="AM130" s="1">
        <v>344.0</v>
      </c>
      <c r="AN130" s="1">
        <f t="shared" si="2"/>
        <v>344</v>
      </c>
      <c r="AO130" s="1">
        <f t="shared" si="4"/>
        <v>0.9529069767</v>
      </c>
      <c r="AP130" s="4" t="s">
        <v>1411</v>
      </c>
    </row>
    <row r="131" ht="12.75" customHeight="1">
      <c r="A131" s="4" t="s">
        <v>622</v>
      </c>
      <c r="B131" s="4" t="s">
        <v>917</v>
      </c>
      <c r="C131" s="4" t="s">
        <v>44</v>
      </c>
      <c r="D131" s="4" t="s">
        <v>45</v>
      </c>
      <c r="E131" s="8" t="s">
        <v>46</v>
      </c>
      <c r="F131" s="8" t="s">
        <v>47</v>
      </c>
      <c r="G131" s="1"/>
      <c r="H131" s="4" t="s">
        <v>65</v>
      </c>
      <c r="I131" s="4" t="s">
        <v>624</v>
      </c>
      <c r="J131" s="4">
        <v>21.0</v>
      </c>
      <c r="K131" s="4">
        <v>10.0</v>
      </c>
      <c r="L131" s="4">
        <v>2010.0</v>
      </c>
      <c r="M131" s="4">
        <v>2.0</v>
      </c>
      <c r="N131" s="4">
        <v>5.0</v>
      </c>
      <c r="O131" s="4">
        <v>2015.0</v>
      </c>
      <c r="P131" s="4" t="s">
        <v>214</v>
      </c>
      <c r="Q131" s="4" t="s">
        <v>51</v>
      </c>
      <c r="R131" s="4" t="s">
        <v>232</v>
      </c>
      <c r="S131" s="4" t="s">
        <v>234</v>
      </c>
      <c r="T131" s="4" t="s">
        <v>1678</v>
      </c>
      <c r="U131" s="4">
        <v>1233.0</v>
      </c>
      <c r="V131" s="1"/>
      <c r="W131" s="1"/>
      <c r="X131" s="4" t="s">
        <v>55</v>
      </c>
      <c r="Y131" s="4" t="s">
        <v>99</v>
      </c>
      <c r="Z131" s="4" t="s">
        <v>626</v>
      </c>
      <c r="AA131" s="4" t="s">
        <v>626</v>
      </c>
      <c r="AB131" s="4" t="s">
        <v>626</v>
      </c>
      <c r="AC131" s="4" t="s">
        <v>69</v>
      </c>
      <c r="AD131" s="11" t="s">
        <v>60</v>
      </c>
      <c r="AE131" s="11" t="s">
        <v>60</v>
      </c>
      <c r="AF131" s="11" t="s">
        <v>60</v>
      </c>
      <c r="AG131" s="4" t="s">
        <v>62</v>
      </c>
      <c r="AH131" s="4">
        <v>7.0</v>
      </c>
      <c r="AI131" s="4">
        <v>6.0</v>
      </c>
      <c r="AJ131" s="4">
        <v>6.0</v>
      </c>
      <c r="AK131" s="1">
        <f t="shared" si="1"/>
        <v>19</v>
      </c>
      <c r="AL131" s="1">
        <v>1.0</v>
      </c>
      <c r="AM131" s="4">
        <v>304.0</v>
      </c>
      <c r="AN131" s="1">
        <f t="shared" si="2"/>
        <v>304</v>
      </c>
      <c r="AO131" s="1">
        <f t="shared" si="4"/>
        <v>0.9532894737</v>
      </c>
      <c r="AP131" s="4" t="s">
        <v>918</v>
      </c>
    </row>
    <row r="132" ht="12.75" customHeight="1">
      <c r="A132" s="1" t="s">
        <v>866</v>
      </c>
      <c r="B132" s="1" t="s">
        <v>867</v>
      </c>
      <c r="C132" s="4" t="s">
        <v>44</v>
      </c>
      <c r="D132" s="1" t="s">
        <v>99</v>
      </c>
      <c r="E132" s="1" t="s">
        <v>100</v>
      </c>
      <c r="F132" s="1" t="s">
        <v>101</v>
      </c>
      <c r="G132" s="1"/>
      <c r="H132" s="1" t="s">
        <v>65</v>
      </c>
      <c r="I132" s="1" t="s">
        <v>1679</v>
      </c>
      <c r="J132" s="1">
        <v>20.0</v>
      </c>
      <c r="K132" s="1">
        <v>70.0</v>
      </c>
      <c r="L132" s="1">
        <v>1979.0</v>
      </c>
      <c r="M132" s="1"/>
      <c r="N132" s="1"/>
      <c r="O132" s="1">
        <v>2015.0</v>
      </c>
      <c r="P132" s="1" t="s">
        <v>214</v>
      </c>
      <c r="Q132" s="4" t="s">
        <v>51</v>
      </c>
      <c r="R132" s="1" t="s">
        <v>52</v>
      </c>
      <c r="S132" s="1" t="s">
        <v>30</v>
      </c>
      <c r="T132" s="4" t="s">
        <v>190</v>
      </c>
      <c r="U132" s="1">
        <v>1979.0</v>
      </c>
      <c r="V132" s="1"/>
      <c r="W132" s="1"/>
      <c r="X132" s="4" t="s">
        <v>30</v>
      </c>
      <c r="Y132" s="4" t="s">
        <v>30</v>
      </c>
      <c r="Z132" s="1" t="s">
        <v>190</v>
      </c>
      <c r="AA132" s="1" t="s">
        <v>190</v>
      </c>
      <c r="AB132" s="1" t="s">
        <v>1680</v>
      </c>
      <c r="AC132" s="1" t="s">
        <v>465</v>
      </c>
      <c r="AD132" s="1" t="s">
        <v>190</v>
      </c>
      <c r="AE132" s="1" t="s">
        <v>1646</v>
      </c>
      <c r="AF132" s="1" t="s">
        <v>60</v>
      </c>
      <c r="AG132" s="4" t="s">
        <v>62</v>
      </c>
      <c r="AH132" s="1">
        <v>6.0</v>
      </c>
      <c r="AI132" s="1">
        <v>6.0</v>
      </c>
      <c r="AJ132" s="1">
        <v>6.0</v>
      </c>
      <c r="AK132" s="1">
        <f t="shared" si="1"/>
        <v>18</v>
      </c>
      <c r="AL132" s="1">
        <v>1.0</v>
      </c>
      <c r="AM132" s="1">
        <v>160.0</v>
      </c>
      <c r="AN132" s="1">
        <f t="shared" si="2"/>
        <v>160</v>
      </c>
      <c r="AO132" s="1">
        <f t="shared" si="4"/>
        <v>0.90625</v>
      </c>
      <c r="AP132" s="4" t="s">
        <v>868</v>
      </c>
    </row>
    <row r="133" ht="12.75" customHeight="1">
      <c r="A133" s="1" t="s">
        <v>1358</v>
      </c>
      <c r="B133" s="1" t="s">
        <v>1359</v>
      </c>
      <c r="C133" s="4" t="s">
        <v>44</v>
      </c>
      <c r="D133" s="1" t="s">
        <v>99</v>
      </c>
      <c r="E133" s="1" t="s">
        <v>199</v>
      </c>
      <c r="F133" s="1" t="s">
        <v>200</v>
      </c>
      <c r="G133" s="1"/>
      <c r="H133" s="1" t="s">
        <v>65</v>
      </c>
      <c r="I133" s="1" t="s">
        <v>1681</v>
      </c>
      <c r="J133" s="1">
        <v>21.0</v>
      </c>
      <c r="K133" s="1">
        <v>10.0</v>
      </c>
      <c r="L133" s="1">
        <v>2013.0</v>
      </c>
      <c r="M133" s="1"/>
      <c r="N133" s="1"/>
      <c r="O133" s="1">
        <v>2015.0</v>
      </c>
      <c r="P133" s="1" t="s">
        <v>214</v>
      </c>
      <c r="Q133" s="4" t="s">
        <v>51</v>
      </c>
      <c r="R133" s="1" t="s">
        <v>52</v>
      </c>
      <c r="S133" s="1" t="s">
        <v>247</v>
      </c>
      <c r="T133" s="1" t="s">
        <v>1640</v>
      </c>
      <c r="U133" s="1">
        <v>1849.0</v>
      </c>
      <c r="V133" s="1"/>
      <c r="W133" s="1"/>
      <c r="X133" s="4" t="s">
        <v>55</v>
      </c>
      <c r="Y133" s="4" t="s">
        <v>99</v>
      </c>
      <c r="Z133" s="4" t="s">
        <v>101</v>
      </c>
      <c r="AA133" s="1" t="s">
        <v>1641</v>
      </c>
      <c r="AB133" s="1" t="s">
        <v>478</v>
      </c>
      <c r="AC133" s="1" t="s">
        <v>58</v>
      </c>
      <c r="AD133" s="1" t="s">
        <v>498</v>
      </c>
      <c r="AE133" s="1" t="s">
        <v>60</v>
      </c>
      <c r="AF133" s="1" t="s">
        <v>60</v>
      </c>
      <c r="AG133" s="4" t="s">
        <v>62</v>
      </c>
      <c r="AH133" s="1">
        <v>5.0</v>
      </c>
      <c r="AI133" s="1">
        <v>5.0</v>
      </c>
      <c r="AJ133" s="1">
        <v>5.0</v>
      </c>
      <c r="AK133" s="1">
        <f t="shared" si="1"/>
        <v>15</v>
      </c>
      <c r="AL133" s="1">
        <v>1.0</v>
      </c>
      <c r="AM133" s="1">
        <v>296.0</v>
      </c>
      <c r="AN133" s="1">
        <f t="shared" si="2"/>
        <v>296</v>
      </c>
      <c r="AO133" s="1">
        <f t="shared" si="4"/>
        <v>0.7533783784</v>
      </c>
      <c r="AP133" s="4" t="s">
        <v>1360</v>
      </c>
    </row>
    <row r="134" ht="12.75" customHeight="1">
      <c r="A134" s="4" t="s">
        <v>1178</v>
      </c>
      <c r="B134" s="4" t="s">
        <v>1180</v>
      </c>
      <c r="C134" s="4" t="s">
        <v>44</v>
      </c>
      <c r="D134" s="4" t="s">
        <v>45</v>
      </c>
      <c r="E134" s="4" t="s">
        <v>124</v>
      </c>
      <c r="F134" s="4" t="s">
        <v>126</v>
      </c>
      <c r="G134" s="1"/>
      <c r="H134" s="4" t="s">
        <v>65</v>
      </c>
      <c r="I134" s="4" t="s">
        <v>1682</v>
      </c>
      <c r="J134" s="4">
        <v>20.0</v>
      </c>
      <c r="K134" s="4">
        <v>40.0</v>
      </c>
      <c r="L134" s="4">
        <v>1948.0</v>
      </c>
      <c r="M134" s="4">
        <v>21.0</v>
      </c>
      <c r="N134" s="4">
        <v>3.0</v>
      </c>
      <c r="O134" s="4">
        <v>2016.0</v>
      </c>
      <c r="P134" s="4" t="s">
        <v>214</v>
      </c>
      <c r="Q134" s="4" t="s">
        <v>51</v>
      </c>
      <c r="R134" s="4" t="s">
        <v>253</v>
      </c>
      <c r="S134" s="4" t="s">
        <v>262</v>
      </c>
      <c r="T134" s="4" t="s">
        <v>106</v>
      </c>
      <c r="U134" s="4">
        <v>2016.0</v>
      </c>
      <c r="V134" s="1"/>
      <c r="W134" s="1"/>
      <c r="X134" s="4" t="s">
        <v>139</v>
      </c>
      <c r="Y134" s="4" t="s">
        <v>139</v>
      </c>
      <c r="Z134" s="4" t="s">
        <v>139</v>
      </c>
      <c r="AA134" s="4" t="s">
        <v>139</v>
      </c>
      <c r="AB134" s="4" t="s">
        <v>139</v>
      </c>
      <c r="AC134" s="4" t="s">
        <v>1683</v>
      </c>
      <c r="AD134" s="11" t="s">
        <v>60</v>
      </c>
      <c r="AE134" s="11" t="s">
        <v>60</v>
      </c>
      <c r="AF134" s="11" t="s">
        <v>60</v>
      </c>
      <c r="AG134" s="4" t="s">
        <v>62</v>
      </c>
      <c r="AH134" s="4">
        <v>5.0</v>
      </c>
      <c r="AI134" s="4">
        <v>5.0</v>
      </c>
      <c r="AJ134" s="4">
        <v>5.0</v>
      </c>
      <c r="AK134" s="1">
        <f t="shared" si="1"/>
        <v>15</v>
      </c>
      <c r="AL134" s="1">
        <v>1.0</v>
      </c>
      <c r="AM134" s="4">
        <v>234.0</v>
      </c>
      <c r="AN134" s="1">
        <f t="shared" si="2"/>
        <v>234</v>
      </c>
      <c r="AO134" s="1">
        <f t="shared" si="4"/>
        <v>0.7542735043</v>
      </c>
      <c r="AP134" s="4" t="s">
        <v>1181</v>
      </c>
    </row>
    <row r="135" ht="12.75" customHeight="1">
      <c r="A135" s="1" t="s">
        <v>1502</v>
      </c>
      <c r="B135" s="1" t="s">
        <v>1503</v>
      </c>
      <c r="C135" s="4" t="s">
        <v>44</v>
      </c>
      <c r="D135" s="1" t="s">
        <v>99</v>
      </c>
      <c r="E135" s="1" t="s">
        <v>180</v>
      </c>
      <c r="F135" s="1" t="s">
        <v>183</v>
      </c>
      <c r="G135" s="1"/>
      <c r="H135" s="1" t="s">
        <v>65</v>
      </c>
      <c r="I135" s="1" t="s">
        <v>1684</v>
      </c>
      <c r="J135" s="1">
        <v>19.0</v>
      </c>
      <c r="K135" s="1">
        <v>30.0</v>
      </c>
      <c r="L135" s="1">
        <v>1830.0</v>
      </c>
      <c r="M135" s="1"/>
      <c r="N135" s="1"/>
      <c r="O135" s="1">
        <v>2016.0</v>
      </c>
      <c r="P135" s="1" t="s">
        <v>105</v>
      </c>
      <c r="Q135" s="4" t="s">
        <v>51</v>
      </c>
      <c r="R135" s="1" t="s">
        <v>52</v>
      </c>
      <c r="S135" s="1" t="s">
        <v>224</v>
      </c>
      <c r="T135" s="4" t="s">
        <v>1685</v>
      </c>
      <c r="U135" s="1">
        <v>1830.0</v>
      </c>
      <c r="V135" s="1"/>
      <c r="W135" s="1"/>
      <c r="X135" s="4" t="s">
        <v>55</v>
      </c>
      <c r="Y135" s="4" t="s">
        <v>99</v>
      </c>
      <c r="Z135" s="1" t="s">
        <v>183</v>
      </c>
      <c r="AA135" s="4" t="s">
        <v>1686</v>
      </c>
      <c r="AB135" s="4" t="s">
        <v>1686</v>
      </c>
      <c r="AC135" s="1" t="s">
        <v>92</v>
      </c>
      <c r="AD135" s="1" t="s">
        <v>1</v>
      </c>
      <c r="AE135" s="1" t="s">
        <v>60</v>
      </c>
      <c r="AF135" s="1" t="s">
        <v>1687</v>
      </c>
      <c r="AG135" s="4" t="s">
        <v>62</v>
      </c>
      <c r="AH135" s="1">
        <v>7.0</v>
      </c>
      <c r="AI135" s="1">
        <v>9.0</v>
      </c>
      <c r="AJ135" s="1">
        <v>8.0</v>
      </c>
      <c r="AK135" s="1">
        <f t="shared" si="1"/>
        <v>24</v>
      </c>
      <c r="AL135" s="1">
        <v>1.0</v>
      </c>
      <c r="AM135" s="1">
        <v>544.0</v>
      </c>
      <c r="AN135" s="1">
        <f t="shared" si="2"/>
        <v>544</v>
      </c>
      <c r="AO135" s="1">
        <f t="shared" si="4"/>
        <v>1.201838235</v>
      </c>
      <c r="AP135" s="4" t="s">
        <v>1504</v>
      </c>
    </row>
    <row r="136" ht="12.75" customHeight="1">
      <c r="A136" s="1" t="s">
        <v>1120</v>
      </c>
      <c r="B136" s="1" t="s">
        <v>560</v>
      </c>
      <c r="C136" s="4" t="s">
        <v>44</v>
      </c>
      <c r="D136" s="1" t="s">
        <v>99</v>
      </c>
      <c r="E136" s="1" t="s">
        <v>100</v>
      </c>
      <c r="F136" s="1" t="s">
        <v>101</v>
      </c>
      <c r="G136" s="1"/>
      <c r="H136" s="1" t="s">
        <v>65</v>
      </c>
      <c r="I136" s="1" t="s">
        <v>1684</v>
      </c>
      <c r="J136" s="1">
        <v>20.0</v>
      </c>
      <c r="K136" s="1">
        <v>10.0</v>
      </c>
      <c r="L136" s="1">
        <v>1915.0</v>
      </c>
      <c r="M136" s="1"/>
      <c r="N136" s="1"/>
      <c r="O136" s="1">
        <v>2016.0</v>
      </c>
      <c r="P136" s="1" t="s">
        <v>105</v>
      </c>
      <c r="Q136" s="4" t="s">
        <v>51</v>
      </c>
      <c r="R136" s="1" t="s">
        <v>52</v>
      </c>
      <c r="S136" s="1" t="s">
        <v>291</v>
      </c>
      <c r="T136" s="4" t="s">
        <v>1688</v>
      </c>
      <c r="U136" s="4">
        <v>1900.0</v>
      </c>
      <c r="V136" s="1"/>
      <c r="W136" s="1"/>
      <c r="X136" s="4" t="s">
        <v>55</v>
      </c>
      <c r="Y136" s="4" t="s">
        <v>148</v>
      </c>
      <c r="Z136" s="1" t="s">
        <v>1689</v>
      </c>
      <c r="AA136" s="1" t="s">
        <v>1690</v>
      </c>
      <c r="AB136" s="1" t="s">
        <v>1690</v>
      </c>
      <c r="AC136" s="1" t="s">
        <v>58</v>
      </c>
      <c r="AD136" s="1" t="s">
        <v>385</v>
      </c>
      <c r="AE136" s="1" t="s">
        <v>60</v>
      </c>
      <c r="AF136" s="1" t="s">
        <v>1687</v>
      </c>
      <c r="AG136" s="4" t="s">
        <v>62</v>
      </c>
      <c r="AH136" s="1">
        <v>9.0</v>
      </c>
      <c r="AI136" s="1">
        <v>8.0</v>
      </c>
      <c r="AJ136" s="1">
        <v>9.0</v>
      </c>
      <c r="AK136" s="1">
        <f t="shared" si="1"/>
        <v>26</v>
      </c>
      <c r="AL136" s="1">
        <v>1.0</v>
      </c>
      <c r="AM136" s="1">
        <v>400.0</v>
      </c>
      <c r="AN136" s="1">
        <f t="shared" si="2"/>
        <v>400</v>
      </c>
      <c r="AO136" s="1">
        <f t="shared" si="4"/>
        <v>1.3025</v>
      </c>
      <c r="AP136" s="4" t="s">
        <v>1122</v>
      </c>
    </row>
    <row r="137" ht="12.75" customHeight="1">
      <c r="A137" s="1" t="s">
        <v>436</v>
      </c>
      <c r="B137" s="1" t="s">
        <v>1344</v>
      </c>
      <c r="C137" s="4" t="s">
        <v>44</v>
      </c>
      <c r="D137" s="1" t="s">
        <v>45</v>
      </c>
      <c r="E137" s="1" t="s">
        <v>46</v>
      </c>
      <c r="F137" s="1" t="s">
        <v>47</v>
      </c>
      <c r="G137" s="1" t="s">
        <v>1344</v>
      </c>
      <c r="H137" s="1" t="s">
        <v>65</v>
      </c>
      <c r="I137" s="1" t="s">
        <v>382</v>
      </c>
      <c r="J137" s="1">
        <v>20.0</v>
      </c>
      <c r="K137" s="1">
        <v>60.0</v>
      </c>
      <c r="L137" s="1">
        <v>1966.0</v>
      </c>
      <c r="M137" s="1"/>
      <c r="N137" s="1"/>
      <c r="O137" s="1">
        <v>2016.0</v>
      </c>
      <c r="P137" s="1" t="s">
        <v>105</v>
      </c>
      <c r="Q137" s="4" t="s">
        <v>51</v>
      </c>
      <c r="R137" s="1" t="s">
        <v>52</v>
      </c>
      <c r="S137" s="1" t="s">
        <v>269</v>
      </c>
      <c r="T137" s="1" t="s">
        <v>75</v>
      </c>
      <c r="U137" s="1">
        <v>1966.0</v>
      </c>
      <c r="V137" s="1"/>
      <c r="W137" s="1"/>
      <c r="X137" s="4" t="s">
        <v>55</v>
      </c>
      <c r="Y137" s="4" t="s">
        <v>45</v>
      </c>
      <c r="Z137" s="1" t="s">
        <v>47</v>
      </c>
      <c r="AA137" s="1" t="s">
        <v>226</v>
      </c>
      <c r="AB137" s="4" t="s">
        <v>1691</v>
      </c>
      <c r="AC137" s="1" t="s">
        <v>58</v>
      </c>
      <c r="AD137" s="1" t="s">
        <v>7</v>
      </c>
      <c r="AE137" s="1" t="s">
        <v>1692</v>
      </c>
      <c r="AF137" s="1" t="s">
        <v>1687</v>
      </c>
      <c r="AG137" s="4" t="s">
        <v>62</v>
      </c>
      <c r="AH137" s="1">
        <v>7.0</v>
      </c>
      <c r="AI137" s="1">
        <v>8.0</v>
      </c>
      <c r="AJ137" s="1">
        <v>7.0</v>
      </c>
      <c r="AK137" s="1">
        <f t="shared" si="1"/>
        <v>22</v>
      </c>
      <c r="AL137" s="1">
        <v>1.0</v>
      </c>
      <c r="AM137" s="1">
        <v>272.0</v>
      </c>
      <c r="AN137" s="1">
        <f t="shared" si="2"/>
        <v>272</v>
      </c>
      <c r="AO137" s="1">
        <f t="shared" si="4"/>
        <v>1.103676471</v>
      </c>
      <c r="AP137" s="4" t="s">
        <v>1345</v>
      </c>
    </row>
    <row r="138" ht="12.75" customHeight="1">
      <c r="A138" s="1" t="s">
        <v>596</v>
      </c>
      <c r="B138" s="1" t="s">
        <v>1543</v>
      </c>
      <c r="C138" s="4" t="s">
        <v>44</v>
      </c>
      <c r="D138" s="1" t="s">
        <v>99</v>
      </c>
      <c r="E138" s="1" t="s">
        <v>100</v>
      </c>
      <c r="F138" s="1" t="s">
        <v>101</v>
      </c>
      <c r="G138" s="1"/>
      <c r="H138" s="1" t="s">
        <v>65</v>
      </c>
      <c r="I138" s="1" t="s">
        <v>598</v>
      </c>
      <c r="J138" s="1">
        <v>20.0</v>
      </c>
      <c r="K138" s="1">
        <v>90.0</v>
      </c>
      <c r="L138" s="1">
        <v>1990.0</v>
      </c>
      <c r="M138" s="1"/>
      <c r="N138" s="1"/>
      <c r="O138" s="1">
        <v>2016.0</v>
      </c>
      <c r="P138" s="1" t="s">
        <v>214</v>
      </c>
      <c r="Q138" s="4" t="s">
        <v>51</v>
      </c>
      <c r="R138" s="1" t="s">
        <v>52</v>
      </c>
      <c r="S138" s="1" t="s">
        <v>30</v>
      </c>
      <c r="T138" s="4" t="s">
        <v>1693</v>
      </c>
      <c r="U138" s="1">
        <v>1990.0</v>
      </c>
      <c r="V138" s="1"/>
      <c r="W138" s="1"/>
      <c r="X138" s="4" t="s">
        <v>30</v>
      </c>
      <c r="Y138" s="4" t="s">
        <v>30</v>
      </c>
      <c r="Z138" s="4" t="s">
        <v>601</v>
      </c>
      <c r="AA138" s="1" t="s">
        <v>1694</v>
      </c>
      <c r="AB138" s="1" t="s">
        <v>1694</v>
      </c>
      <c r="AC138" s="1" t="s">
        <v>92</v>
      </c>
      <c r="AD138" s="1" t="s">
        <v>1695</v>
      </c>
      <c r="AE138" s="1" t="s">
        <v>112</v>
      </c>
      <c r="AF138" s="1" t="s">
        <v>601</v>
      </c>
      <c r="AG138" s="4" t="s">
        <v>62</v>
      </c>
      <c r="AH138" s="1">
        <v>7.0</v>
      </c>
      <c r="AI138" s="1">
        <v>8.0</v>
      </c>
      <c r="AJ138" s="1">
        <v>7.0</v>
      </c>
      <c r="AK138" s="1">
        <f t="shared" si="1"/>
        <v>22</v>
      </c>
      <c r="AL138" s="1">
        <v>1.0</v>
      </c>
      <c r="AM138" s="1">
        <v>347.0</v>
      </c>
      <c r="AN138" s="1">
        <f t="shared" si="2"/>
        <v>347</v>
      </c>
      <c r="AO138" s="1">
        <f t="shared" si="4"/>
        <v>1.102881844</v>
      </c>
      <c r="AP138" s="4" t="s">
        <v>1544</v>
      </c>
    </row>
    <row r="139" ht="12.75" customHeight="1">
      <c r="A139" s="1" t="s">
        <v>596</v>
      </c>
      <c r="B139" s="1" t="s">
        <v>1545</v>
      </c>
      <c r="C139" s="4" t="s">
        <v>44</v>
      </c>
      <c r="D139" s="1" t="s">
        <v>99</v>
      </c>
      <c r="E139" s="1" t="s">
        <v>100</v>
      </c>
      <c r="F139" s="1" t="s">
        <v>101</v>
      </c>
      <c r="G139" s="1"/>
      <c r="H139" s="1" t="s">
        <v>65</v>
      </c>
      <c r="I139" s="1" t="s">
        <v>598</v>
      </c>
      <c r="J139" s="1">
        <v>20.0</v>
      </c>
      <c r="K139" s="1">
        <v>90.0</v>
      </c>
      <c r="L139" s="1">
        <v>1991.0</v>
      </c>
      <c r="M139" s="1"/>
      <c r="N139" s="1"/>
      <c r="O139" s="1">
        <v>2016.0</v>
      </c>
      <c r="P139" s="1" t="s">
        <v>214</v>
      </c>
      <c r="Q139" s="4" t="s">
        <v>51</v>
      </c>
      <c r="R139" s="1" t="s">
        <v>52</v>
      </c>
      <c r="S139" s="1" t="s">
        <v>30</v>
      </c>
      <c r="T139" s="1" t="s">
        <v>60</v>
      </c>
      <c r="U139" s="1">
        <v>1991.0</v>
      </c>
      <c r="V139" s="1"/>
      <c r="W139" s="1"/>
      <c r="X139" s="4" t="s">
        <v>30</v>
      </c>
      <c r="Y139" s="4" t="s">
        <v>30</v>
      </c>
      <c r="Z139" s="4" t="s">
        <v>601</v>
      </c>
      <c r="AA139" s="1" t="s">
        <v>1696</v>
      </c>
      <c r="AB139" s="1" t="s">
        <v>216</v>
      </c>
      <c r="AC139" s="1" t="s">
        <v>261</v>
      </c>
      <c r="AD139" s="1" t="s">
        <v>174</v>
      </c>
      <c r="AE139" s="1" t="s">
        <v>112</v>
      </c>
      <c r="AF139" s="1" t="s">
        <v>601</v>
      </c>
      <c r="AG139" s="4" t="s">
        <v>62</v>
      </c>
      <c r="AH139" s="1">
        <v>7.0</v>
      </c>
      <c r="AI139" s="1">
        <v>8.0</v>
      </c>
      <c r="AJ139" s="1">
        <v>7.0</v>
      </c>
      <c r="AK139" s="1">
        <f t="shared" si="1"/>
        <v>22</v>
      </c>
      <c r="AL139" s="1">
        <v>1.0</v>
      </c>
      <c r="AM139" s="1">
        <v>301.0</v>
      </c>
      <c r="AN139" s="1">
        <f t="shared" si="2"/>
        <v>301</v>
      </c>
      <c r="AO139" s="1">
        <f t="shared" si="4"/>
        <v>1.103322259</v>
      </c>
      <c r="AP139" s="4" t="s">
        <v>1546</v>
      </c>
    </row>
    <row r="140" ht="12.75" customHeight="1">
      <c r="A140" s="1" t="s">
        <v>1446</v>
      </c>
      <c r="B140" s="1" t="s">
        <v>1447</v>
      </c>
      <c r="C140" s="4" t="s">
        <v>44</v>
      </c>
      <c r="D140" s="1" t="s">
        <v>99</v>
      </c>
      <c r="E140" s="1" t="s">
        <v>100</v>
      </c>
      <c r="F140" s="1" t="s">
        <v>210</v>
      </c>
      <c r="G140" s="1"/>
      <c r="H140" s="1" t="s">
        <v>65</v>
      </c>
      <c r="I140" s="1" t="s">
        <v>519</v>
      </c>
      <c r="J140" s="1">
        <v>21.0</v>
      </c>
      <c r="K140" s="1">
        <v>0.0</v>
      </c>
      <c r="L140" s="1">
        <v>2002.0</v>
      </c>
      <c r="M140" s="1"/>
      <c r="N140" s="1"/>
      <c r="O140" s="1">
        <v>2016.0</v>
      </c>
      <c r="P140" s="1" t="s">
        <v>105</v>
      </c>
      <c r="Q140" s="4" t="s">
        <v>51</v>
      </c>
      <c r="R140" s="1" t="s">
        <v>52</v>
      </c>
      <c r="S140" s="1" t="s">
        <v>106</v>
      </c>
      <c r="T140" s="4" t="s">
        <v>106</v>
      </c>
      <c r="U140" s="1">
        <v>1965.0</v>
      </c>
      <c r="V140" s="1"/>
      <c r="W140" s="1"/>
      <c r="X140" s="4" t="s">
        <v>55</v>
      </c>
      <c r="Y140" s="4" t="s">
        <v>99</v>
      </c>
      <c r="Z140" s="1" t="s">
        <v>210</v>
      </c>
      <c r="AA140" s="1" t="s">
        <v>1697</v>
      </c>
      <c r="AB140" s="1" t="s">
        <v>1697</v>
      </c>
      <c r="AC140" s="1" t="s">
        <v>58</v>
      </c>
      <c r="AD140" s="1" t="s">
        <v>59</v>
      </c>
      <c r="AE140" s="1" t="s">
        <v>60</v>
      </c>
      <c r="AF140" s="1" t="s">
        <v>1687</v>
      </c>
      <c r="AG140" s="4" t="s">
        <v>62</v>
      </c>
      <c r="AH140" s="1">
        <v>7.0</v>
      </c>
      <c r="AI140" s="1">
        <v>7.0</v>
      </c>
      <c r="AJ140" s="1">
        <v>7.0</v>
      </c>
      <c r="AK140" s="1">
        <f t="shared" si="1"/>
        <v>21</v>
      </c>
      <c r="AL140" s="1">
        <v>1.0</v>
      </c>
      <c r="AM140" s="1">
        <v>288.0</v>
      </c>
      <c r="AN140" s="1">
        <f t="shared" si="2"/>
        <v>288</v>
      </c>
      <c r="AO140" s="1">
        <f t="shared" si="4"/>
        <v>1.053472222</v>
      </c>
      <c r="AP140" s="4" t="s">
        <v>1448</v>
      </c>
    </row>
    <row r="141" ht="12.75" customHeight="1">
      <c r="A141" s="1" t="s">
        <v>1449</v>
      </c>
      <c r="B141" s="1" t="s">
        <v>1450</v>
      </c>
      <c r="C141" s="4" t="s">
        <v>44</v>
      </c>
      <c r="D141" s="1" t="s">
        <v>99</v>
      </c>
      <c r="E141" s="1" t="s">
        <v>173</v>
      </c>
      <c r="F141" s="1" t="s">
        <v>175</v>
      </c>
      <c r="G141" s="4" t="s">
        <v>1698</v>
      </c>
      <c r="H141" s="1" t="s">
        <v>48</v>
      </c>
      <c r="I141" s="1" t="s">
        <v>382</v>
      </c>
      <c r="J141" s="1">
        <v>21.0</v>
      </c>
      <c r="K141" s="1">
        <v>0.0</v>
      </c>
      <c r="L141" s="1">
        <v>2003.0</v>
      </c>
      <c r="M141" s="1"/>
      <c r="N141" s="1"/>
      <c r="O141" s="1">
        <v>2016.0</v>
      </c>
      <c r="P141" s="1" t="s">
        <v>105</v>
      </c>
      <c r="Q141" s="4" t="s">
        <v>51</v>
      </c>
      <c r="R141" s="1" t="s">
        <v>136</v>
      </c>
      <c r="S141" s="1" t="s">
        <v>251</v>
      </c>
      <c r="T141" s="4" t="s">
        <v>106</v>
      </c>
      <c r="U141" s="4">
        <v>2000.0</v>
      </c>
      <c r="V141" s="1"/>
      <c r="W141" s="1"/>
      <c r="X141" s="4" t="s">
        <v>55</v>
      </c>
      <c r="Y141" s="4" t="s">
        <v>99</v>
      </c>
      <c r="Z141" s="1" t="s">
        <v>175</v>
      </c>
      <c r="AA141" s="1" t="s">
        <v>1699</v>
      </c>
      <c r="AB141" s="1" t="s">
        <v>1699</v>
      </c>
      <c r="AC141" s="1" t="s">
        <v>69</v>
      </c>
      <c r="AD141" s="1" t="s">
        <v>1700</v>
      </c>
      <c r="AE141" s="1" t="s">
        <v>60</v>
      </c>
      <c r="AF141" s="1" t="s">
        <v>1687</v>
      </c>
      <c r="AG141" s="4" t="s">
        <v>62</v>
      </c>
      <c r="AH141" s="1">
        <v>6.0</v>
      </c>
      <c r="AI141" s="1">
        <v>6.0</v>
      </c>
      <c r="AJ141" s="1">
        <v>6.0</v>
      </c>
      <c r="AK141" s="1">
        <f t="shared" si="1"/>
        <v>18</v>
      </c>
      <c r="AL141" s="1">
        <v>1.0</v>
      </c>
      <c r="AM141" s="1">
        <v>176.0</v>
      </c>
      <c r="AN141" s="1">
        <f t="shared" si="2"/>
        <v>176</v>
      </c>
      <c r="AO141" s="1">
        <f t="shared" si="4"/>
        <v>0.9056818182</v>
      </c>
      <c r="AP141" s="4" t="s">
        <v>1451</v>
      </c>
    </row>
    <row r="142" ht="12.75" customHeight="1">
      <c r="A142" s="1" t="s">
        <v>510</v>
      </c>
      <c r="B142" s="1" t="s">
        <v>751</v>
      </c>
      <c r="C142" s="4" t="s">
        <v>44</v>
      </c>
      <c r="D142" s="1" t="s">
        <v>99</v>
      </c>
      <c r="E142" s="1" t="s">
        <v>100</v>
      </c>
      <c r="F142" s="1" t="s">
        <v>101</v>
      </c>
      <c r="G142" s="1"/>
      <c r="H142" s="1" t="s">
        <v>65</v>
      </c>
      <c r="I142" s="1" t="s">
        <v>428</v>
      </c>
      <c r="J142" s="1">
        <v>21.0</v>
      </c>
      <c r="K142" s="1">
        <v>0.0</v>
      </c>
      <c r="L142" s="1">
        <v>2004.0</v>
      </c>
      <c r="M142" s="1"/>
      <c r="N142" s="1"/>
      <c r="O142" s="1">
        <v>2016.0</v>
      </c>
      <c r="P142" s="1" t="s">
        <v>105</v>
      </c>
      <c r="Q142" s="4" t="s">
        <v>51</v>
      </c>
      <c r="R142" s="1" t="s">
        <v>52</v>
      </c>
      <c r="S142" s="1" t="s">
        <v>301</v>
      </c>
      <c r="T142" s="4" t="s">
        <v>1701</v>
      </c>
      <c r="U142" s="1">
        <v>850.0</v>
      </c>
      <c r="V142" s="1"/>
      <c r="W142" s="1"/>
      <c r="X142" s="4" t="s">
        <v>55</v>
      </c>
      <c r="Y142" s="4" t="s">
        <v>99</v>
      </c>
      <c r="Z142" s="4" t="s">
        <v>101</v>
      </c>
      <c r="AA142" s="4" t="s">
        <v>1702</v>
      </c>
      <c r="AB142" s="4" t="s">
        <v>1703</v>
      </c>
      <c r="AC142" s="1" t="s">
        <v>92</v>
      </c>
      <c r="AD142" s="1" t="s">
        <v>1704</v>
      </c>
      <c r="AE142" s="1" t="s">
        <v>60</v>
      </c>
      <c r="AF142" s="1" t="s">
        <v>1705</v>
      </c>
      <c r="AG142" s="4" t="s">
        <v>62</v>
      </c>
      <c r="AH142" s="1">
        <v>8.0</v>
      </c>
      <c r="AI142" s="1">
        <v>8.0</v>
      </c>
      <c r="AJ142" s="1">
        <v>8.0</v>
      </c>
      <c r="AK142" s="1">
        <f t="shared" si="1"/>
        <v>24</v>
      </c>
      <c r="AL142" s="1">
        <v>1.0</v>
      </c>
      <c r="AM142" s="1">
        <v>364.0</v>
      </c>
      <c r="AN142" s="1">
        <f t="shared" si="2"/>
        <v>364</v>
      </c>
      <c r="AO142" s="1">
        <f t="shared" si="4"/>
        <v>1.202747253</v>
      </c>
      <c r="AP142" s="4" t="s">
        <v>753</v>
      </c>
    </row>
    <row r="143" ht="12.75" customHeight="1">
      <c r="A143" s="1" t="s">
        <v>510</v>
      </c>
      <c r="B143" s="1" t="s">
        <v>754</v>
      </c>
      <c r="C143" s="4" t="s">
        <v>44</v>
      </c>
      <c r="D143" s="1" t="s">
        <v>99</v>
      </c>
      <c r="E143" s="1" t="s">
        <v>100</v>
      </c>
      <c r="F143" s="1" t="s">
        <v>101</v>
      </c>
      <c r="G143" s="1"/>
      <c r="H143" s="1" t="s">
        <v>65</v>
      </c>
      <c r="I143" s="1" t="s">
        <v>428</v>
      </c>
      <c r="J143" s="1">
        <v>21.0</v>
      </c>
      <c r="K143" s="1">
        <v>0.0</v>
      </c>
      <c r="L143" s="1">
        <v>2005.0</v>
      </c>
      <c r="M143" s="1"/>
      <c r="N143" s="1"/>
      <c r="O143" s="1">
        <v>2016.0</v>
      </c>
      <c r="P143" s="1" t="s">
        <v>105</v>
      </c>
      <c r="Q143" s="4" t="s">
        <v>51</v>
      </c>
      <c r="R143" s="1" t="s">
        <v>52</v>
      </c>
      <c r="S143" s="1" t="s">
        <v>301</v>
      </c>
      <c r="T143" s="4" t="s">
        <v>1701</v>
      </c>
      <c r="U143" s="1">
        <v>850.0</v>
      </c>
      <c r="V143" s="1"/>
      <c r="W143" s="1"/>
      <c r="X143" s="4" t="s">
        <v>55</v>
      </c>
      <c r="Y143" s="4" t="s">
        <v>99</v>
      </c>
      <c r="Z143" s="4" t="s">
        <v>101</v>
      </c>
      <c r="AA143" s="4" t="s">
        <v>1702</v>
      </c>
      <c r="AB143" s="4" t="s">
        <v>1703</v>
      </c>
      <c r="AC143" s="1" t="s">
        <v>92</v>
      </c>
      <c r="AD143" s="1" t="s">
        <v>1704</v>
      </c>
      <c r="AE143" s="1" t="s">
        <v>60</v>
      </c>
      <c r="AF143" s="1" t="s">
        <v>1705</v>
      </c>
      <c r="AG143" s="4" t="s">
        <v>62</v>
      </c>
      <c r="AH143" s="1">
        <v>8.0</v>
      </c>
      <c r="AI143" s="1">
        <v>8.0</v>
      </c>
      <c r="AJ143" s="1">
        <v>8.0</v>
      </c>
      <c r="AK143" s="1">
        <f t="shared" si="1"/>
        <v>24</v>
      </c>
      <c r="AL143" s="1">
        <v>1.0</v>
      </c>
      <c r="AM143" s="1">
        <v>392.0</v>
      </c>
      <c r="AN143" s="1">
        <f t="shared" si="2"/>
        <v>392</v>
      </c>
      <c r="AO143" s="1">
        <f t="shared" si="4"/>
        <v>1.20255102</v>
      </c>
      <c r="AP143" s="4" t="s">
        <v>755</v>
      </c>
    </row>
    <row r="144" ht="12.75" customHeight="1">
      <c r="A144" s="1" t="s">
        <v>510</v>
      </c>
      <c r="B144" s="1" t="s">
        <v>756</v>
      </c>
      <c r="C144" s="4" t="s">
        <v>44</v>
      </c>
      <c r="D144" s="1" t="s">
        <v>99</v>
      </c>
      <c r="E144" s="1" t="s">
        <v>100</v>
      </c>
      <c r="F144" s="1" t="s">
        <v>101</v>
      </c>
      <c r="G144" s="1"/>
      <c r="H144" s="1" t="s">
        <v>65</v>
      </c>
      <c r="I144" s="1" t="s">
        <v>428</v>
      </c>
      <c r="J144" s="1">
        <v>21.0</v>
      </c>
      <c r="K144" s="1">
        <v>0.0</v>
      </c>
      <c r="L144" s="1">
        <v>2006.0</v>
      </c>
      <c r="M144" s="1"/>
      <c r="N144" s="1"/>
      <c r="O144" s="1">
        <v>2016.0</v>
      </c>
      <c r="P144" s="1" t="s">
        <v>105</v>
      </c>
      <c r="Q144" s="4" t="s">
        <v>51</v>
      </c>
      <c r="R144" s="1" t="s">
        <v>52</v>
      </c>
      <c r="S144" s="1" t="s">
        <v>301</v>
      </c>
      <c r="T144" s="4" t="s">
        <v>1701</v>
      </c>
      <c r="U144" s="1">
        <v>850.0</v>
      </c>
      <c r="V144" s="1"/>
      <c r="W144" s="1"/>
      <c r="X144" s="4" t="s">
        <v>55</v>
      </c>
      <c r="Y144" s="4" t="s">
        <v>99</v>
      </c>
      <c r="Z144" s="4" t="s">
        <v>101</v>
      </c>
      <c r="AA144" s="4" t="s">
        <v>1702</v>
      </c>
      <c r="AB144" s="4" t="s">
        <v>1703</v>
      </c>
      <c r="AC144" s="1" t="s">
        <v>92</v>
      </c>
      <c r="AD144" s="1" t="s">
        <v>1704</v>
      </c>
      <c r="AE144" s="1" t="s">
        <v>60</v>
      </c>
      <c r="AF144" s="1" t="s">
        <v>1705</v>
      </c>
      <c r="AG144" s="4" t="s">
        <v>62</v>
      </c>
      <c r="AH144" s="1">
        <v>8.0</v>
      </c>
      <c r="AI144" s="1">
        <v>8.0</v>
      </c>
      <c r="AJ144" s="1">
        <v>8.0</v>
      </c>
      <c r="AK144" s="1">
        <f t="shared" si="1"/>
        <v>24</v>
      </c>
      <c r="AL144" s="1">
        <v>1.0</v>
      </c>
      <c r="AM144" s="1">
        <v>354.0</v>
      </c>
      <c r="AN144" s="1">
        <f t="shared" si="2"/>
        <v>354</v>
      </c>
      <c r="AO144" s="1">
        <f t="shared" si="4"/>
        <v>1.202824859</v>
      </c>
      <c r="AP144" s="4" t="s">
        <v>757</v>
      </c>
    </row>
    <row r="145" ht="12.75" customHeight="1">
      <c r="A145" s="1" t="s">
        <v>510</v>
      </c>
      <c r="B145" s="1" t="s">
        <v>758</v>
      </c>
      <c r="C145" s="4" t="s">
        <v>44</v>
      </c>
      <c r="D145" s="1" t="s">
        <v>99</v>
      </c>
      <c r="E145" s="1" t="s">
        <v>100</v>
      </c>
      <c r="F145" s="1" t="s">
        <v>101</v>
      </c>
      <c r="G145" s="1"/>
      <c r="H145" s="1" t="s">
        <v>65</v>
      </c>
      <c r="I145" s="1" t="s">
        <v>428</v>
      </c>
      <c r="J145" s="1">
        <v>21.0</v>
      </c>
      <c r="K145" s="1">
        <v>0.0</v>
      </c>
      <c r="L145" s="1">
        <v>2007.0</v>
      </c>
      <c r="M145" s="1"/>
      <c r="N145" s="1"/>
      <c r="O145" s="1">
        <v>2016.0</v>
      </c>
      <c r="P145" s="1" t="s">
        <v>105</v>
      </c>
      <c r="Q145" s="4" t="s">
        <v>51</v>
      </c>
      <c r="R145" s="1" t="s">
        <v>52</v>
      </c>
      <c r="S145" s="1" t="s">
        <v>301</v>
      </c>
      <c r="T145" s="4" t="s">
        <v>1701</v>
      </c>
      <c r="U145" s="1">
        <v>850.0</v>
      </c>
      <c r="V145" s="1"/>
      <c r="W145" s="1"/>
      <c r="X145" s="4" t="s">
        <v>55</v>
      </c>
      <c r="Y145" s="4" t="s">
        <v>99</v>
      </c>
      <c r="Z145" s="4" t="s">
        <v>101</v>
      </c>
      <c r="AA145" s="4" t="s">
        <v>1702</v>
      </c>
      <c r="AB145" s="4" t="s">
        <v>1703</v>
      </c>
      <c r="AC145" s="1" t="s">
        <v>92</v>
      </c>
      <c r="AD145" s="1" t="s">
        <v>1704</v>
      </c>
      <c r="AE145" s="1" t="s">
        <v>60</v>
      </c>
      <c r="AF145" s="1" t="s">
        <v>1705</v>
      </c>
      <c r="AG145" s="4" t="s">
        <v>62</v>
      </c>
      <c r="AH145" s="1">
        <v>8.0</v>
      </c>
      <c r="AI145" s="1">
        <v>8.0</v>
      </c>
      <c r="AJ145" s="1">
        <v>7.0</v>
      </c>
      <c r="AK145" s="1">
        <f t="shared" si="1"/>
        <v>23</v>
      </c>
      <c r="AL145" s="1">
        <v>1.0</v>
      </c>
      <c r="AM145" s="1">
        <v>350.0</v>
      </c>
      <c r="AN145" s="1">
        <f t="shared" si="2"/>
        <v>350</v>
      </c>
      <c r="AO145" s="1">
        <f t="shared" si="4"/>
        <v>1.152857143</v>
      </c>
      <c r="AP145" s="4" t="s">
        <v>760</v>
      </c>
    </row>
    <row r="146" ht="12.75" customHeight="1">
      <c r="A146" s="1" t="s">
        <v>510</v>
      </c>
      <c r="B146" s="1" t="s">
        <v>761</v>
      </c>
      <c r="C146" s="4" t="s">
        <v>44</v>
      </c>
      <c r="D146" s="1" t="s">
        <v>99</v>
      </c>
      <c r="E146" s="1" t="s">
        <v>100</v>
      </c>
      <c r="F146" s="1" t="s">
        <v>101</v>
      </c>
      <c r="G146" s="1"/>
      <c r="H146" s="1" t="s">
        <v>65</v>
      </c>
      <c r="I146" s="1" t="s">
        <v>428</v>
      </c>
      <c r="J146" s="1">
        <v>21.0</v>
      </c>
      <c r="K146" s="1">
        <v>0.0</v>
      </c>
      <c r="L146" s="1">
        <v>2008.0</v>
      </c>
      <c r="M146" s="1"/>
      <c r="N146" s="1"/>
      <c r="O146" s="1">
        <v>2016.0</v>
      </c>
      <c r="P146" s="1" t="s">
        <v>105</v>
      </c>
      <c r="Q146" s="4" t="s">
        <v>51</v>
      </c>
      <c r="R146" s="1" t="s">
        <v>52</v>
      </c>
      <c r="S146" s="1" t="s">
        <v>301</v>
      </c>
      <c r="T146" s="4" t="s">
        <v>1701</v>
      </c>
      <c r="U146" s="1">
        <v>850.0</v>
      </c>
      <c r="V146" s="1"/>
      <c r="W146" s="1"/>
      <c r="X146" s="4" t="s">
        <v>55</v>
      </c>
      <c r="Y146" s="4" t="s">
        <v>99</v>
      </c>
      <c r="Z146" s="4" t="s">
        <v>101</v>
      </c>
      <c r="AA146" s="4" t="s">
        <v>1702</v>
      </c>
      <c r="AB146" s="4" t="s">
        <v>1703</v>
      </c>
      <c r="AC146" s="1" t="s">
        <v>92</v>
      </c>
      <c r="AD146" s="1" t="s">
        <v>1704</v>
      </c>
      <c r="AE146" s="1" t="s">
        <v>60</v>
      </c>
      <c r="AF146" s="1" t="s">
        <v>1705</v>
      </c>
      <c r="AG146" s="4" t="s">
        <v>62</v>
      </c>
      <c r="AH146" s="1">
        <v>7.0</v>
      </c>
      <c r="AI146" s="1">
        <v>8.0</v>
      </c>
      <c r="AJ146" s="1">
        <v>7.0</v>
      </c>
      <c r="AK146" s="1">
        <f t="shared" si="1"/>
        <v>22</v>
      </c>
      <c r="AL146" s="1">
        <v>1.0</v>
      </c>
      <c r="AM146" s="1">
        <v>378.0</v>
      </c>
      <c r="AN146" s="1">
        <f t="shared" si="2"/>
        <v>378</v>
      </c>
      <c r="AO146" s="1">
        <f t="shared" si="4"/>
        <v>1.102645503</v>
      </c>
      <c r="AP146" s="4" t="s">
        <v>762</v>
      </c>
    </row>
    <row r="147" ht="12.75" customHeight="1">
      <c r="A147" s="1" t="s">
        <v>492</v>
      </c>
      <c r="B147" s="1" t="s">
        <v>588</v>
      </c>
      <c r="C147" s="4" t="s">
        <v>44</v>
      </c>
      <c r="D147" s="1" t="s">
        <v>45</v>
      </c>
      <c r="E147" s="4" t="s">
        <v>124</v>
      </c>
      <c r="F147" s="1" t="s">
        <v>126</v>
      </c>
      <c r="G147" s="1" t="s">
        <v>588</v>
      </c>
      <c r="H147" s="1" t="s">
        <v>65</v>
      </c>
      <c r="I147" s="1" t="s">
        <v>1679</v>
      </c>
      <c r="J147" s="1">
        <v>21.0</v>
      </c>
      <c r="K147" s="1">
        <v>10.0</v>
      </c>
      <c r="L147" s="1">
        <v>2013.0</v>
      </c>
      <c r="M147" s="1"/>
      <c r="N147" s="1"/>
      <c r="O147" s="1">
        <v>2016.0</v>
      </c>
      <c r="P147" s="1" t="s">
        <v>246</v>
      </c>
      <c r="Q147" s="4" t="s">
        <v>51</v>
      </c>
      <c r="R147" s="1" t="s">
        <v>52</v>
      </c>
      <c r="S147" s="1" t="s">
        <v>270</v>
      </c>
      <c r="T147" s="4" t="s">
        <v>106</v>
      </c>
      <c r="U147" s="1">
        <v>2013.0</v>
      </c>
      <c r="V147" s="1"/>
      <c r="W147" s="1"/>
      <c r="X147" s="4" t="s">
        <v>55</v>
      </c>
      <c r="Y147" s="4" t="s">
        <v>99</v>
      </c>
      <c r="Z147" s="1" t="s">
        <v>178</v>
      </c>
      <c r="AA147" s="1" t="s">
        <v>595</v>
      </c>
      <c r="AB147" s="1" t="s">
        <v>595</v>
      </c>
      <c r="AC147" s="1" t="s">
        <v>69</v>
      </c>
      <c r="AD147" s="1" t="s">
        <v>498</v>
      </c>
      <c r="AE147" s="1" t="s">
        <v>60</v>
      </c>
      <c r="AF147" s="4" t="s">
        <v>499</v>
      </c>
      <c r="AG147" s="4" t="s">
        <v>62</v>
      </c>
      <c r="AH147" s="1">
        <v>7.0</v>
      </c>
      <c r="AI147" s="1">
        <v>7.0</v>
      </c>
      <c r="AJ147" s="1">
        <v>6.0</v>
      </c>
      <c r="AK147" s="1">
        <f t="shared" si="1"/>
        <v>20</v>
      </c>
      <c r="AL147" s="1">
        <v>1.0</v>
      </c>
      <c r="AM147" s="1">
        <v>448.0</v>
      </c>
      <c r="AN147" s="1">
        <f t="shared" si="2"/>
        <v>448</v>
      </c>
      <c r="AO147" s="1">
        <f t="shared" si="4"/>
        <v>1.002232143</v>
      </c>
      <c r="AP147" s="4" t="s">
        <v>834</v>
      </c>
    </row>
    <row r="148" ht="12.75" customHeight="1">
      <c r="A148" s="1" t="s">
        <v>694</v>
      </c>
      <c r="B148" s="1" t="s">
        <v>695</v>
      </c>
      <c r="C148" s="4" t="s">
        <v>44</v>
      </c>
      <c r="D148" s="1" t="s">
        <v>45</v>
      </c>
      <c r="E148" s="1" t="s">
        <v>46</v>
      </c>
      <c r="F148" s="1" t="s">
        <v>47</v>
      </c>
      <c r="G148" s="1" t="s">
        <v>695</v>
      </c>
      <c r="H148" s="1" t="s">
        <v>65</v>
      </c>
      <c r="I148" s="1" t="s">
        <v>1706</v>
      </c>
      <c r="J148" s="1">
        <v>21.0</v>
      </c>
      <c r="K148" s="1">
        <v>10.0</v>
      </c>
      <c r="L148" s="1">
        <v>2014.0</v>
      </c>
      <c r="M148" s="1"/>
      <c r="N148" s="1"/>
      <c r="O148" s="1">
        <v>2016.0</v>
      </c>
      <c r="P148" s="1" t="s">
        <v>105</v>
      </c>
      <c r="Q148" s="4" t="s">
        <v>51</v>
      </c>
      <c r="R148" s="1" t="s">
        <v>52</v>
      </c>
      <c r="S148" s="1" t="s">
        <v>247</v>
      </c>
      <c r="T148" s="4" t="s">
        <v>91</v>
      </c>
      <c r="U148" s="1">
        <v>2014.0</v>
      </c>
      <c r="V148" s="1"/>
      <c r="W148" s="1"/>
      <c r="X148" s="4" t="s">
        <v>55</v>
      </c>
      <c r="Y148" s="4" t="s">
        <v>45</v>
      </c>
      <c r="Z148" s="1" t="s">
        <v>47</v>
      </c>
      <c r="AA148" s="1" t="s">
        <v>56</v>
      </c>
      <c r="AB148" s="1" t="s">
        <v>56</v>
      </c>
      <c r="AC148" s="4" t="s">
        <v>522</v>
      </c>
      <c r="AD148" s="1" t="s">
        <v>385</v>
      </c>
      <c r="AE148" s="1" t="s">
        <v>143</v>
      </c>
      <c r="AF148" s="1" t="s">
        <v>60</v>
      </c>
      <c r="AG148" s="4" t="s">
        <v>62</v>
      </c>
      <c r="AH148" s="1">
        <v>5.0</v>
      </c>
      <c r="AI148" s="1">
        <v>4.0</v>
      </c>
      <c r="AJ148" s="1">
        <v>5.0</v>
      </c>
      <c r="AK148" s="1">
        <f t="shared" si="1"/>
        <v>14</v>
      </c>
      <c r="AL148" s="1">
        <v>1.0</v>
      </c>
      <c r="AM148" s="1">
        <v>105.0</v>
      </c>
      <c r="AN148" s="1">
        <f t="shared" si="2"/>
        <v>105</v>
      </c>
      <c r="AO148" s="1">
        <f t="shared" si="4"/>
        <v>0.7095238095</v>
      </c>
      <c r="AP148" s="4" t="s">
        <v>696</v>
      </c>
    </row>
    <row r="149" ht="12.75" customHeight="1">
      <c r="A149" s="4" t="s">
        <v>1427</v>
      </c>
      <c r="B149" s="4" t="s">
        <v>1428</v>
      </c>
      <c r="C149" s="4" t="s">
        <v>44</v>
      </c>
      <c r="D149" s="4" t="s">
        <v>99</v>
      </c>
      <c r="E149" s="1" t="s">
        <v>100</v>
      </c>
      <c r="F149" s="1" t="s">
        <v>101</v>
      </c>
      <c r="G149" s="1"/>
      <c r="H149" s="4" t="s">
        <v>65</v>
      </c>
      <c r="I149" s="4" t="s">
        <v>1707</v>
      </c>
      <c r="J149" s="4">
        <v>21.0</v>
      </c>
      <c r="K149" s="4">
        <v>10.0</v>
      </c>
      <c r="L149" s="4">
        <v>2013.0</v>
      </c>
      <c r="M149" s="4">
        <v>5.0</v>
      </c>
      <c r="N149" s="4">
        <v>3.0</v>
      </c>
      <c r="O149" s="4">
        <v>2017.0</v>
      </c>
      <c r="P149" s="1" t="s">
        <v>214</v>
      </c>
      <c r="Q149" s="4" t="s">
        <v>51</v>
      </c>
      <c r="R149" s="4" t="s">
        <v>136</v>
      </c>
      <c r="S149" s="4" t="s">
        <v>136</v>
      </c>
      <c r="T149" s="4" t="s">
        <v>1708</v>
      </c>
      <c r="U149" s="4">
        <v>-560.0</v>
      </c>
      <c r="V149" s="1"/>
      <c r="W149" s="1"/>
      <c r="X149" s="4" t="s">
        <v>139</v>
      </c>
      <c r="Y149" s="4" t="s">
        <v>139</v>
      </c>
      <c r="Z149" s="4" t="s">
        <v>139</v>
      </c>
      <c r="AA149" s="4" t="s">
        <v>139</v>
      </c>
      <c r="AB149" s="4" t="s">
        <v>139</v>
      </c>
      <c r="AC149" s="4" t="s">
        <v>69</v>
      </c>
      <c r="AD149" s="4" t="s">
        <v>60</v>
      </c>
      <c r="AE149" s="4" t="s">
        <v>60</v>
      </c>
      <c r="AF149" s="4" t="s">
        <v>60</v>
      </c>
      <c r="AG149" s="4" t="s">
        <v>62</v>
      </c>
      <c r="AH149" s="1">
        <v>7.0</v>
      </c>
      <c r="AI149" s="1">
        <v>7.0</v>
      </c>
      <c r="AJ149" s="1">
        <v>7.0</v>
      </c>
      <c r="AK149" s="1">
        <f t="shared" si="1"/>
        <v>21</v>
      </c>
      <c r="AL149" s="1">
        <v>1.0</v>
      </c>
      <c r="AM149" s="4">
        <v>208.0</v>
      </c>
      <c r="AN149" s="1">
        <f t="shared" si="2"/>
        <v>208</v>
      </c>
      <c r="AO149" s="1">
        <f t="shared" si="4"/>
        <v>1.054807692</v>
      </c>
      <c r="AP149" s="4" t="s">
        <v>1429</v>
      </c>
    </row>
    <row r="150" ht="12.75" customHeight="1">
      <c r="A150" s="1" t="s">
        <v>1009</v>
      </c>
      <c r="B150" s="1" t="s">
        <v>1012</v>
      </c>
      <c r="C150" s="4" t="s">
        <v>44</v>
      </c>
      <c r="D150" s="1" t="s">
        <v>99</v>
      </c>
      <c r="E150" s="1" t="s">
        <v>100</v>
      </c>
      <c r="F150" s="1" t="s">
        <v>101</v>
      </c>
      <c r="G150" s="1" t="s">
        <v>1709</v>
      </c>
      <c r="H150" s="1" t="s">
        <v>65</v>
      </c>
      <c r="I150" s="1" t="s">
        <v>421</v>
      </c>
      <c r="J150" s="1">
        <v>21.0</v>
      </c>
      <c r="K150" s="1">
        <v>10.0</v>
      </c>
      <c r="L150" s="1">
        <v>2014.0</v>
      </c>
      <c r="M150" s="1">
        <v>18.0</v>
      </c>
      <c r="N150" s="1">
        <v>8.0</v>
      </c>
      <c r="O150" s="1">
        <v>2017.0</v>
      </c>
      <c r="P150" s="1" t="s">
        <v>105</v>
      </c>
      <c r="Q150" s="4" t="s">
        <v>51</v>
      </c>
      <c r="R150" s="1" t="s">
        <v>52</v>
      </c>
      <c r="S150" s="1" t="s">
        <v>106</v>
      </c>
      <c r="T150" s="4" t="s">
        <v>1710</v>
      </c>
      <c r="U150" s="4">
        <v>2020.0</v>
      </c>
      <c r="V150" s="1"/>
      <c r="W150" s="1"/>
      <c r="X150" s="4" t="s">
        <v>55</v>
      </c>
      <c r="Y150" s="4" t="s">
        <v>99</v>
      </c>
      <c r="Z150" s="4" t="s">
        <v>101</v>
      </c>
      <c r="AA150" s="1" t="s">
        <v>1641</v>
      </c>
      <c r="AB150" s="1" t="s">
        <v>1711</v>
      </c>
      <c r="AC150" s="4" t="s">
        <v>80</v>
      </c>
      <c r="AD150" s="1" t="s">
        <v>143</v>
      </c>
      <c r="AE150" s="1" t="s">
        <v>60</v>
      </c>
      <c r="AF150" s="1" t="s">
        <v>1687</v>
      </c>
      <c r="AG150" s="4" t="s">
        <v>62</v>
      </c>
      <c r="AH150" s="1">
        <v>7.0</v>
      </c>
      <c r="AI150" s="1">
        <v>6.0</v>
      </c>
      <c r="AJ150" s="1">
        <v>7.0</v>
      </c>
      <c r="AK150" s="1">
        <f t="shared" si="1"/>
        <v>20</v>
      </c>
      <c r="AL150" s="1">
        <v>1.0</v>
      </c>
      <c r="AM150" s="1">
        <v>200.0</v>
      </c>
      <c r="AN150" s="1">
        <f t="shared" si="2"/>
        <v>200</v>
      </c>
      <c r="AO150" s="1">
        <f t="shared" si="4"/>
        <v>1.005</v>
      </c>
      <c r="AP150" s="4" t="s">
        <v>1013</v>
      </c>
    </row>
    <row r="151" ht="12.75" customHeight="1">
      <c r="A151" s="1" t="s">
        <v>1230</v>
      </c>
      <c r="B151" s="1" t="s">
        <v>1233</v>
      </c>
      <c r="C151" s="4" t="s">
        <v>44</v>
      </c>
      <c r="D151" s="1" t="s">
        <v>45</v>
      </c>
      <c r="E151" s="4" t="s">
        <v>124</v>
      </c>
      <c r="F151" s="1" t="s">
        <v>126</v>
      </c>
      <c r="G151" s="1" t="s">
        <v>1233</v>
      </c>
      <c r="H151" s="1" t="s">
        <v>65</v>
      </c>
      <c r="I151" s="1" t="s">
        <v>1712</v>
      </c>
      <c r="J151" s="1">
        <v>19.0</v>
      </c>
      <c r="K151" s="1">
        <v>70.0</v>
      </c>
      <c r="L151" s="1">
        <v>1876.0</v>
      </c>
      <c r="M151" s="1"/>
      <c r="N151" s="1"/>
      <c r="O151" s="1">
        <v>2017.0</v>
      </c>
      <c r="P151" s="1" t="s">
        <v>105</v>
      </c>
      <c r="Q151" s="4" t="s">
        <v>51</v>
      </c>
      <c r="R151" s="1" t="s">
        <v>266</v>
      </c>
      <c r="S151" s="1" t="s">
        <v>53</v>
      </c>
      <c r="T151" s="4" t="s">
        <v>508</v>
      </c>
      <c r="U151" s="4">
        <v>1840.0</v>
      </c>
      <c r="V151" s="1"/>
      <c r="W151" s="1"/>
      <c r="X151" s="4" t="s">
        <v>55</v>
      </c>
      <c r="Y151" s="4" t="s">
        <v>45</v>
      </c>
      <c r="Z151" s="1" t="s">
        <v>126</v>
      </c>
      <c r="AA151" s="4" t="s">
        <v>1713</v>
      </c>
      <c r="AB151" s="4" t="s">
        <v>1714</v>
      </c>
      <c r="AC151" s="1" t="s">
        <v>92</v>
      </c>
      <c r="AD151" s="1" t="s">
        <v>1246</v>
      </c>
      <c r="AE151" s="1" t="s">
        <v>60</v>
      </c>
      <c r="AF151" s="1" t="s">
        <v>60</v>
      </c>
      <c r="AG151" s="4" t="s">
        <v>1715</v>
      </c>
      <c r="AH151" s="1">
        <v>4.0</v>
      </c>
      <c r="AI151" s="1">
        <v>6.0</v>
      </c>
      <c r="AJ151" s="1">
        <v>4.0</v>
      </c>
      <c r="AK151" s="1">
        <f t="shared" si="1"/>
        <v>14</v>
      </c>
      <c r="AL151" s="1">
        <v>1.0</v>
      </c>
      <c r="AM151" s="1">
        <v>28.0</v>
      </c>
      <c r="AN151" s="1">
        <f t="shared" si="2"/>
        <v>28</v>
      </c>
      <c r="AO151" s="1">
        <f t="shared" si="4"/>
        <v>0.7357142857</v>
      </c>
      <c r="AP151" s="4" t="s">
        <v>1234</v>
      </c>
    </row>
    <row r="152" ht="12.75" customHeight="1">
      <c r="A152" s="1" t="s">
        <v>1355</v>
      </c>
      <c r="B152" s="1" t="s">
        <v>1356</v>
      </c>
      <c r="C152" s="4" t="s">
        <v>44</v>
      </c>
      <c r="D152" s="1" t="s">
        <v>99</v>
      </c>
      <c r="E152" s="1" t="s">
        <v>187</v>
      </c>
      <c r="F152" s="1" t="s">
        <v>197</v>
      </c>
      <c r="G152" s="4" t="s">
        <v>1716</v>
      </c>
      <c r="H152" s="1" t="s">
        <v>65</v>
      </c>
      <c r="I152" s="1" t="s">
        <v>458</v>
      </c>
      <c r="J152" s="4">
        <v>19.0</v>
      </c>
      <c r="K152" s="4">
        <v>40.0</v>
      </c>
      <c r="L152" s="4">
        <v>1842.0</v>
      </c>
      <c r="M152" s="1"/>
      <c r="N152" s="1"/>
      <c r="O152" s="1">
        <v>2017.0</v>
      </c>
      <c r="P152" s="1" t="s">
        <v>105</v>
      </c>
      <c r="Q152" s="4" t="s">
        <v>51</v>
      </c>
      <c r="R152" s="1" t="s">
        <v>266</v>
      </c>
      <c r="S152" s="1" t="s">
        <v>272</v>
      </c>
      <c r="T152" s="4" t="s">
        <v>548</v>
      </c>
      <c r="U152" s="1">
        <v>1840.0</v>
      </c>
      <c r="V152" s="1"/>
      <c r="W152" s="1"/>
      <c r="X152" s="4" t="s">
        <v>55</v>
      </c>
      <c r="Y152" s="4" t="s">
        <v>99</v>
      </c>
      <c r="Z152" s="1" t="s">
        <v>197</v>
      </c>
      <c r="AA152" s="1" t="s">
        <v>549</v>
      </c>
      <c r="AB152" s="1" t="s">
        <v>549</v>
      </c>
      <c r="AC152" s="1" t="s">
        <v>58</v>
      </c>
      <c r="AD152" s="1" t="s">
        <v>385</v>
      </c>
      <c r="AE152" s="1" t="s">
        <v>60</v>
      </c>
      <c r="AF152" s="1" t="s">
        <v>1687</v>
      </c>
      <c r="AG152" s="4" t="s">
        <v>62</v>
      </c>
      <c r="AH152" s="1">
        <v>7.0</v>
      </c>
      <c r="AI152" s="1">
        <v>7.0</v>
      </c>
      <c r="AJ152" s="1">
        <v>7.0</v>
      </c>
      <c r="AK152" s="1">
        <f t="shared" si="1"/>
        <v>21</v>
      </c>
      <c r="AL152" s="1">
        <v>1.0</v>
      </c>
      <c r="AM152" s="1">
        <v>48.0</v>
      </c>
      <c r="AN152" s="1">
        <f t="shared" si="2"/>
        <v>48</v>
      </c>
      <c r="AO152" s="1">
        <f t="shared" si="4"/>
        <v>1.070833333</v>
      </c>
      <c r="AP152" s="4" t="s">
        <v>1357</v>
      </c>
    </row>
    <row r="153" ht="12.75" customHeight="1">
      <c r="A153" s="1" t="s">
        <v>1361</v>
      </c>
      <c r="B153" s="1" t="s">
        <v>1362</v>
      </c>
      <c r="C153" s="4" t="s">
        <v>44</v>
      </c>
      <c r="D153" s="1" t="s">
        <v>99</v>
      </c>
      <c r="E153" s="1" t="s">
        <v>173</v>
      </c>
      <c r="F153" s="1" t="s">
        <v>176</v>
      </c>
      <c r="G153" s="4" t="s">
        <v>1717</v>
      </c>
      <c r="H153" s="1" t="s">
        <v>65</v>
      </c>
      <c r="I153" s="1" t="s">
        <v>1718</v>
      </c>
      <c r="J153" s="1">
        <v>20.0</v>
      </c>
      <c r="K153" s="1">
        <v>40.0</v>
      </c>
      <c r="L153" s="1">
        <v>1946.0</v>
      </c>
      <c r="M153" s="1"/>
      <c r="N153" s="1"/>
      <c r="O153" s="1">
        <v>2017.0</v>
      </c>
      <c r="P153" s="1" t="s">
        <v>105</v>
      </c>
      <c r="Q153" s="4" t="s">
        <v>51</v>
      </c>
      <c r="R153" s="1" t="s">
        <v>52</v>
      </c>
      <c r="S153" s="1" t="s">
        <v>106</v>
      </c>
      <c r="T153" s="4" t="s">
        <v>583</v>
      </c>
      <c r="U153" s="4">
        <v>1944.0</v>
      </c>
      <c r="V153" s="1"/>
      <c r="W153" s="1"/>
      <c r="X153" s="4" t="s">
        <v>55</v>
      </c>
      <c r="Y153" s="4" t="s">
        <v>99</v>
      </c>
      <c r="Z153" s="1" t="s">
        <v>176</v>
      </c>
      <c r="AA153" s="1" t="s">
        <v>1719</v>
      </c>
      <c r="AB153" s="1" t="s">
        <v>1720</v>
      </c>
      <c r="AC153" s="1" t="s">
        <v>58</v>
      </c>
      <c r="AD153" s="1" t="s">
        <v>7</v>
      </c>
      <c r="AE153" s="1" t="s">
        <v>60</v>
      </c>
      <c r="AF153" s="1" t="s">
        <v>1687</v>
      </c>
      <c r="AG153" s="4" t="s">
        <v>62</v>
      </c>
      <c r="AH153" s="1">
        <v>8.0</v>
      </c>
      <c r="AI153" s="1">
        <v>9.0</v>
      </c>
      <c r="AJ153" s="1">
        <v>8.0</v>
      </c>
      <c r="AK153" s="1">
        <f t="shared" si="1"/>
        <v>25</v>
      </c>
      <c r="AL153" s="1">
        <v>1.0</v>
      </c>
      <c r="AM153" s="1">
        <v>384.0</v>
      </c>
      <c r="AN153" s="1">
        <f t="shared" si="2"/>
        <v>384</v>
      </c>
      <c r="AO153" s="1">
        <f t="shared" si="4"/>
        <v>1.252604167</v>
      </c>
      <c r="AP153" s="4" t="s">
        <v>1363</v>
      </c>
    </row>
    <row r="154" ht="12.75" customHeight="1">
      <c r="A154" s="1" t="s">
        <v>972</v>
      </c>
      <c r="B154" s="1" t="s">
        <v>973</v>
      </c>
      <c r="C154" s="4" t="s">
        <v>44</v>
      </c>
      <c r="D154" s="1" t="s">
        <v>99</v>
      </c>
      <c r="E154" s="1" t="s">
        <v>173</v>
      </c>
      <c r="F154" s="1" t="s">
        <v>178</v>
      </c>
      <c r="G154" s="4" t="s">
        <v>1721</v>
      </c>
      <c r="H154" s="1" t="s">
        <v>65</v>
      </c>
      <c r="I154" s="1" t="s">
        <v>421</v>
      </c>
      <c r="J154" s="1">
        <v>20.0</v>
      </c>
      <c r="K154" s="1">
        <v>50.0</v>
      </c>
      <c r="L154" s="1">
        <v>1958.0</v>
      </c>
      <c r="M154" s="1"/>
      <c r="N154" s="1"/>
      <c r="O154" s="1">
        <v>2017.0</v>
      </c>
      <c r="P154" s="1" t="s">
        <v>105</v>
      </c>
      <c r="Q154" s="4" t="s">
        <v>51</v>
      </c>
      <c r="R154" s="1" t="s">
        <v>52</v>
      </c>
      <c r="S154" s="1" t="s">
        <v>291</v>
      </c>
      <c r="T154" s="4" t="s">
        <v>1722</v>
      </c>
      <c r="U154" s="1">
        <v>1861.0</v>
      </c>
      <c r="V154" s="1"/>
      <c r="W154" s="1"/>
      <c r="X154" s="4" t="s">
        <v>55</v>
      </c>
      <c r="Y154" s="4" t="s">
        <v>99</v>
      </c>
      <c r="Z154" s="1" t="s">
        <v>178</v>
      </c>
      <c r="AA154" s="4" t="s">
        <v>1723</v>
      </c>
      <c r="AB154" s="4" t="s">
        <v>1724</v>
      </c>
      <c r="AC154" s="1" t="s">
        <v>92</v>
      </c>
      <c r="AD154" s="1" t="s">
        <v>1</v>
      </c>
      <c r="AE154" s="1" t="s">
        <v>60</v>
      </c>
      <c r="AF154" s="1" t="s">
        <v>1687</v>
      </c>
      <c r="AG154" s="4" t="s">
        <v>62</v>
      </c>
      <c r="AH154" s="1">
        <v>8.0</v>
      </c>
      <c r="AI154" s="1">
        <v>7.0</v>
      </c>
      <c r="AJ154" s="1">
        <v>7.0</v>
      </c>
      <c r="AK154" s="1">
        <f t="shared" si="1"/>
        <v>22</v>
      </c>
      <c r="AL154" s="1">
        <v>1.0</v>
      </c>
      <c r="AM154" s="1">
        <v>384.0</v>
      </c>
      <c r="AN154" s="1">
        <f t="shared" si="2"/>
        <v>384</v>
      </c>
      <c r="AO154" s="1">
        <f t="shared" si="4"/>
        <v>1.102604167</v>
      </c>
      <c r="AP154" s="4" t="s">
        <v>974</v>
      </c>
    </row>
    <row r="155" ht="12.75" customHeight="1">
      <c r="A155" s="1" t="s">
        <v>869</v>
      </c>
      <c r="B155" s="1" t="s">
        <v>870</v>
      </c>
      <c r="C155" s="4" t="s">
        <v>44</v>
      </c>
      <c r="D155" s="1" t="s">
        <v>45</v>
      </c>
      <c r="E155" s="4" t="s">
        <v>124</v>
      </c>
      <c r="F155" s="1" t="s">
        <v>126</v>
      </c>
      <c r="G155" s="1"/>
      <c r="H155" s="1" t="s">
        <v>65</v>
      </c>
      <c r="I155" s="1" t="s">
        <v>428</v>
      </c>
      <c r="J155" s="1">
        <v>20.0</v>
      </c>
      <c r="K155" s="1">
        <v>70.0</v>
      </c>
      <c r="L155" s="1">
        <v>1975.0</v>
      </c>
      <c r="M155" s="1"/>
      <c r="N155" s="1"/>
      <c r="O155" s="1">
        <v>2017.0</v>
      </c>
      <c r="P155" s="1" t="s">
        <v>105</v>
      </c>
      <c r="Q155" s="4" t="s">
        <v>51</v>
      </c>
      <c r="R155" s="1" t="s">
        <v>52</v>
      </c>
      <c r="S155" s="1" t="s">
        <v>106</v>
      </c>
      <c r="T155" s="4" t="s">
        <v>1725</v>
      </c>
      <c r="U155" s="4">
        <v>1912.0</v>
      </c>
      <c r="V155" s="1"/>
      <c r="W155" s="1"/>
      <c r="X155" s="4" t="s">
        <v>55</v>
      </c>
      <c r="Y155" s="4" t="s">
        <v>45</v>
      </c>
      <c r="Z155" s="1" t="s">
        <v>126</v>
      </c>
      <c r="AA155" s="1" t="s">
        <v>739</v>
      </c>
      <c r="AB155" s="1" t="s">
        <v>739</v>
      </c>
      <c r="AC155" s="1" t="s">
        <v>69</v>
      </c>
      <c r="AD155" s="1" t="s">
        <v>1726</v>
      </c>
      <c r="AE155" s="1" t="s">
        <v>60</v>
      </c>
      <c r="AF155" s="1" t="s">
        <v>1687</v>
      </c>
      <c r="AG155" s="4" t="s">
        <v>62</v>
      </c>
      <c r="AH155" s="1">
        <v>7.0</v>
      </c>
      <c r="AI155" s="1">
        <v>7.0</v>
      </c>
      <c r="AJ155" s="1">
        <v>7.0</v>
      </c>
      <c r="AK155" s="1">
        <f t="shared" si="1"/>
        <v>21</v>
      </c>
      <c r="AL155" s="1">
        <v>1.0</v>
      </c>
      <c r="AM155" s="1">
        <v>336.0</v>
      </c>
      <c r="AN155" s="1">
        <f t="shared" si="2"/>
        <v>336</v>
      </c>
      <c r="AO155" s="1">
        <f t="shared" si="4"/>
        <v>1.05297619</v>
      </c>
      <c r="AP155" s="4" t="s">
        <v>871</v>
      </c>
    </row>
    <row r="156" ht="12.75" customHeight="1">
      <c r="A156" s="1" t="s">
        <v>691</v>
      </c>
      <c r="B156" s="1" t="s">
        <v>692</v>
      </c>
      <c r="C156" s="4" t="s">
        <v>44</v>
      </c>
      <c r="D156" s="1" t="s">
        <v>99</v>
      </c>
      <c r="E156" s="1" t="s">
        <v>100</v>
      </c>
      <c r="F156" s="1" t="s">
        <v>101</v>
      </c>
      <c r="G156" s="1"/>
      <c r="H156" s="1" t="s">
        <v>48</v>
      </c>
      <c r="I156" s="1" t="s">
        <v>1684</v>
      </c>
      <c r="J156" s="1">
        <v>20.0</v>
      </c>
      <c r="K156" s="1">
        <v>70.0</v>
      </c>
      <c r="L156" s="1">
        <v>1979.0</v>
      </c>
      <c r="M156" s="1"/>
      <c r="N156" s="1"/>
      <c r="O156" s="1">
        <v>2017.0</v>
      </c>
      <c r="P156" s="1" t="s">
        <v>105</v>
      </c>
      <c r="Q156" s="4" t="s">
        <v>51</v>
      </c>
      <c r="R156" s="1" t="s">
        <v>266</v>
      </c>
      <c r="S156" s="1" t="s">
        <v>53</v>
      </c>
      <c r="T156" s="1" t="s">
        <v>60</v>
      </c>
      <c r="U156" s="1">
        <v>1979.0</v>
      </c>
      <c r="V156" s="1"/>
      <c r="W156" s="1"/>
      <c r="X156" s="4" t="s">
        <v>30</v>
      </c>
      <c r="Y156" s="4" t="s">
        <v>30</v>
      </c>
      <c r="Z156" s="4" t="s">
        <v>68</v>
      </c>
      <c r="AA156" s="4" t="s">
        <v>68</v>
      </c>
      <c r="AB156" s="1" t="s">
        <v>60</v>
      </c>
      <c r="AC156" s="1" t="s">
        <v>261</v>
      </c>
      <c r="AD156" s="1" t="s">
        <v>505</v>
      </c>
      <c r="AE156" s="1" t="s">
        <v>112</v>
      </c>
      <c r="AF156" s="1" t="s">
        <v>1687</v>
      </c>
      <c r="AG156" s="4" t="s">
        <v>62</v>
      </c>
      <c r="AH156" s="1">
        <v>6.0</v>
      </c>
      <c r="AI156" s="1">
        <v>7.0</v>
      </c>
      <c r="AJ156" s="1">
        <v>7.0</v>
      </c>
      <c r="AK156" s="1">
        <f t="shared" si="1"/>
        <v>20</v>
      </c>
      <c r="AL156" s="1">
        <v>1.0</v>
      </c>
      <c r="AM156" s="1">
        <v>224.0</v>
      </c>
      <c r="AN156" s="1">
        <f t="shared" si="2"/>
        <v>224</v>
      </c>
      <c r="AO156" s="1">
        <f t="shared" si="4"/>
        <v>1.004464286</v>
      </c>
      <c r="AP156" s="4" t="s">
        <v>693</v>
      </c>
    </row>
    <row r="157" ht="12.75" customHeight="1">
      <c r="A157" s="1" t="s">
        <v>781</v>
      </c>
      <c r="B157" s="1" t="s">
        <v>782</v>
      </c>
      <c r="C157" s="4" t="s">
        <v>44</v>
      </c>
      <c r="D157" s="1" t="s">
        <v>45</v>
      </c>
      <c r="E157" s="1" t="s">
        <v>46</v>
      </c>
      <c r="F157" s="1" t="s">
        <v>47</v>
      </c>
      <c r="G157" s="1" t="s">
        <v>782</v>
      </c>
      <c r="H157" s="1" t="s">
        <v>65</v>
      </c>
      <c r="I157" s="1" t="s">
        <v>382</v>
      </c>
      <c r="J157" s="1">
        <v>20.0</v>
      </c>
      <c r="K157" s="1">
        <v>90.0</v>
      </c>
      <c r="L157" s="1">
        <v>1995.0</v>
      </c>
      <c r="M157" s="1"/>
      <c r="N157" s="1"/>
      <c r="O157" s="1">
        <v>2017.0</v>
      </c>
      <c r="P157" s="1" t="s">
        <v>105</v>
      </c>
      <c r="Q157" s="4" t="s">
        <v>51</v>
      </c>
      <c r="R157" s="1" t="s">
        <v>136</v>
      </c>
      <c r="S157" s="1" t="s">
        <v>138</v>
      </c>
      <c r="T157" s="4" t="s">
        <v>91</v>
      </c>
      <c r="U157" s="1">
        <v>1995.0</v>
      </c>
      <c r="V157" s="1"/>
      <c r="W157" s="1"/>
      <c r="X157" s="4" t="s">
        <v>55</v>
      </c>
      <c r="Y157" s="4" t="s">
        <v>45</v>
      </c>
      <c r="Z157" s="1" t="s">
        <v>47</v>
      </c>
      <c r="AA157" s="1" t="s">
        <v>226</v>
      </c>
      <c r="AB157" s="4" t="s">
        <v>1691</v>
      </c>
      <c r="AC157" s="1" t="s">
        <v>69</v>
      </c>
      <c r="AD157" s="1" t="s">
        <v>1727</v>
      </c>
      <c r="AE157" s="1" t="s">
        <v>60</v>
      </c>
      <c r="AF157" s="1" t="s">
        <v>1687</v>
      </c>
      <c r="AG157" s="4" t="s">
        <v>62</v>
      </c>
      <c r="AH157" s="1">
        <v>6.0</v>
      </c>
      <c r="AI157" s="1">
        <v>6.0</v>
      </c>
      <c r="AJ157" s="1">
        <v>6.0</v>
      </c>
      <c r="AK157" s="1">
        <f t="shared" si="1"/>
        <v>18</v>
      </c>
      <c r="AL157" s="1">
        <v>1.0</v>
      </c>
      <c r="AM157" s="1">
        <v>272.0</v>
      </c>
      <c r="AN157" s="1">
        <f t="shared" si="2"/>
        <v>272</v>
      </c>
      <c r="AO157" s="1">
        <f t="shared" si="4"/>
        <v>0.9036764706</v>
      </c>
      <c r="AP157" s="4" t="s">
        <v>783</v>
      </c>
    </row>
    <row r="158" ht="12.75" customHeight="1">
      <c r="A158" s="1" t="s">
        <v>1337</v>
      </c>
      <c r="B158" s="1" t="s">
        <v>1338</v>
      </c>
      <c r="C158" s="4" t="s">
        <v>44</v>
      </c>
      <c r="D158" s="1" t="s">
        <v>45</v>
      </c>
      <c r="E158" s="4" t="s">
        <v>124</v>
      </c>
      <c r="F158" s="1" t="s">
        <v>126</v>
      </c>
      <c r="G158" s="1"/>
      <c r="H158" s="1" t="s">
        <v>65</v>
      </c>
      <c r="I158" s="1" t="s">
        <v>604</v>
      </c>
      <c r="J158" s="1">
        <v>21.0</v>
      </c>
      <c r="K158" s="1">
        <v>0.0</v>
      </c>
      <c r="L158" s="1">
        <v>2001.0</v>
      </c>
      <c r="M158" s="1"/>
      <c r="N158" s="1"/>
      <c r="O158" s="1">
        <v>2017.0</v>
      </c>
      <c r="P158" s="1" t="s">
        <v>214</v>
      </c>
      <c r="Q158" s="4" t="s">
        <v>51</v>
      </c>
      <c r="R158" s="1" t="s">
        <v>52</v>
      </c>
      <c r="S158" s="1" t="s">
        <v>30</v>
      </c>
      <c r="T158" s="4" t="s">
        <v>106</v>
      </c>
      <c r="U158" s="1">
        <v>2001.0</v>
      </c>
      <c r="V158" s="1"/>
      <c r="W158" s="1"/>
      <c r="X158" s="4" t="s">
        <v>55</v>
      </c>
      <c r="Y158" s="4" t="s">
        <v>45</v>
      </c>
      <c r="Z158" s="1" t="s">
        <v>126</v>
      </c>
      <c r="AA158" s="1" t="s">
        <v>126</v>
      </c>
      <c r="AB158" s="1" t="s">
        <v>126</v>
      </c>
      <c r="AC158" s="1" t="s">
        <v>261</v>
      </c>
      <c r="AD158" s="1" t="s">
        <v>259</v>
      </c>
      <c r="AE158" s="1" t="s">
        <v>1728</v>
      </c>
      <c r="AF158" s="1" t="s">
        <v>60</v>
      </c>
      <c r="AG158" s="4" t="s">
        <v>62</v>
      </c>
      <c r="AH158" s="1">
        <v>7.0</v>
      </c>
      <c r="AI158" s="1">
        <v>8.0</v>
      </c>
      <c r="AJ158" s="1">
        <v>7.0</v>
      </c>
      <c r="AK158" s="1">
        <f t="shared" si="1"/>
        <v>22</v>
      </c>
      <c r="AL158" s="1">
        <v>1.0</v>
      </c>
      <c r="AM158" s="1">
        <v>576.0</v>
      </c>
      <c r="AN158" s="1">
        <f t="shared" si="2"/>
        <v>576</v>
      </c>
      <c r="AO158" s="1">
        <f t="shared" si="4"/>
        <v>1.101736111</v>
      </c>
      <c r="AP158" s="4" t="s">
        <v>1339</v>
      </c>
    </row>
    <row r="159" ht="12.75" customHeight="1">
      <c r="A159" s="1" t="s">
        <v>1075</v>
      </c>
      <c r="B159" s="1" t="s">
        <v>1078</v>
      </c>
      <c r="C159" s="4" t="s">
        <v>44</v>
      </c>
      <c r="D159" s="1" t="s">
        <v>99</v>
      </c>
      <c r="E159" s="1" t="s">
        <v>100</v>
      </c>
      <c r="F159" s="1" t="s">
        <v>101</v>
      </c>
      <c r="G159" s="1"/>
      <c r="H159" s="1" t="s">
        <v>48</v>
      </c>
      <c r="I159" s="1" t="s">
        <v>1729</v>
      </c>
      <c r="J159" s="1">
        <v>21.0</v>
      </c>
      <c r="K159" s="1">
        <v>0.0</v>
      </c>
      <c r="L159" s="1">
        <v>2003.0</v>
      </c>
      <c r="M159" s="1"/>
      <c r="N159" s="1"/>
      <c r="O159" s="1">
        <v>2017.0</v>
      </c>
      <c r="P159" s="1" t="s">
        <v>105</v>
      </c>
      <c r="Q159" s="4" t="s">
        <v>51</v>
      </c>
      <c r="R159" s="1" t="s">
        <v>52</v>
      </c>
      <c r="S159" s="1" t="s">
        <v>106</v>
      </c>
      <c r="T159" s="4" t="s">
        <v>106</v>
      </c>
      <c r="U159" s="1">
        <v>2000.0</v>
      </c>
      <c r="V159" s="1"/>
      <c r="W159" s="1"/>
      <c r="X159" s="4" t="s">
        <v>55</v>
      </c>
      <c r="Y159" s="4" t="s">
        <v>45</v>
      </c>
      <c r="Z159" s="1" t="s">
        <v>126</v>
      </c>
      <c r="AA159" s="1" t="s">
        <v>1730</v>
      </c>
      <c r="AB159" s="1" t="s">
        <v>1730</v>
      </c>
      <c r="AC159" s="1" t="s">
        <v>465</v>
      </c>
      <c r="AD159" s="1" t="s">
        <v>1731</v>
      </c>
      <c r="AE159" s="1" t="s">
        <v>60</v>
      </c>
      <c r="AF159" s="1" t="s">
        <v>1687</v>
      </c>
      <c r="AG159" s="4" t="s">
        <v>62</v>
      </c>
      <c r="AH159" s="1">
        <v>7.0</v>
      </c>
      <c r="AI159" s="1">
        <v>6.0</v>
      </c>
      <c r="AJ159" s="1">
        <v>7.0</v>
      </c>
      <c r="AK159" s="1">
        <f t="shared" si="1"/>
        <v>20</v>
      </c>
      <c r="AL159" s="1">
        <v>1.0</v>
      </c>
      <c r="AM159" s="1">
        <v>344.0</v>
      </c>
      <c r="AN159" s="1">
        <f t="shared" si="2"/>
        <v>344</v>
      </c>
      <c r="AO159" s="1">
        <f t="shared" si="4"/>
        <v>1.002906977</v>
      </c>
      <c r="AP159" s="4" t="s">
        <v>1079</v>
      </c>
    </row>
    <row r="160" ht="12.75" customHeight="1">
      <c r="A160" s="1" t="s">
        <v>841</v>
      </c>
      <c r="B160" s="1" t="s">
        <v>842</v>
      </c>
      <c r="C160" s="4" t="s">
        <v>44</v>
      </c>
      <c r="D160" s="1" t="s">
        <v>99</v>
      </c>
      <c r="E160" s="1" t="s">
        <v>100</v>
      </c>
      <c r="F160" s="1" t="s">
        <v>101</v>
      </c>
      <c r="G160" s="1"/>
      <c r="H160" s="1" t="s">
        <v>65</v>
      </c>
      <c r="I160" s="1" t="s">
        <v>1668</v>
      </c>
      <c r="J160" s="1">
        <v>21.0</v>
      </c>
      <c r="K160" s="1">
        <v>0.0</v>
      </c>
      <c r="L160" s="1">
        <v>2005.0</v>
      </c>
      <c r="M160" s="1"/>
      <c r="N160" s="1"/>
      <c r="O160" s="1">
        <v>2017.0</v>
      </c>
      <c r="P160" s="1" t="s">
        <v>214</v>
      </c>
      <c r="Q160" s="4" t="s">
        <v>51</v>
      </c>
      <c r="R160" s="1" t="s">
        <v>52</v>
      </c>
      <c r="S160" s="1" t="s">
        <v>270</v>
      </c>
      <c r="T160" s="4" t="s">
        <v>106</v>
      </c>
      <c r="U160" s="1">
        <v>2005.0</v>
      </c>
      <c r="V160" s="1"/>
      <c r="W160" s="1"/>
      <c r="X160" s="4" t="s">
        <v>55</v>
      </c>
      <c r="Y160" s="4" t="s">
        <v>148</v>
      </c>
      <c r="Z160" s="4" t="s">
        <v>169</v>
      </c>
      <c r="AA160" s="4" t="s">
        <v>1732</v>
      </c>
      <c r="AB160" s="4" t="s">
        <v>1732</v>
      </c>
      <c r="AC160" s="1" t="s">
        <v>465</v>
      </c>
      <c r="AD160" s="1" t="s">
        <v>1733</v>
      </c>
      <c r="AE160" s="1" t="s">
        <v>1734</v>
      </c>
      <c r="AF160" s="1" t="s">
        <v>60</v>
      </c>
      <c r="AG160" s="4" t="s">
        <v>62</v>
      </c>
      <c r="AH160" s="1">
        <v>4.0</v>
      </c>
      <c r="AI160" s="1">
        <v>4.0</v>
      </c>
      <c r="AJ160" s="1">
        <v>5.0</v>
      </c>
      <c r="AK160" s="1">
        <f t="shared" si="1"/>
        <v>13</v>
      </c>
      <c r="AL160" s="1">
        <v>1.0</v>
      </c>
      <c r="AM160" s="1">
        <v>440.0</v>
      </c>
      <c r="AN160" s="1">
        <f t="shared" si="2"/>
        <v>440</v>
      </c>
      <c r="AO160" s="1">
        <f t="shared" si="4"/>
        <v>0.6522727273</v>
      </c>
      <c r="AP160" s="4" t="s">
        <v>843</v>
      </c>
    </row>
    <row r="161" ht="12.75" customHeight="1">
      <c r="A161" s="1" t="s">
        <v>1464</v>
      </c>
      <c r="B161" s="1" t="s">
        <v>1465</v>
      </c>
      <c r="C161" s="4" t="s">
        <v>44</v>
      </c>
      <c r="D161" s="1" t="s">
        <v>45</v>
      </c>
      <c r="E161" s="4" t="s">
        <v>124</v>
      </c>
      <c r="F161" s="1" t="s">
        <v>126</v>
      </c>
      <c r="G161" s="1"/>
      <c r="H161" s="1" t="s">
        <v>65</v>
      </c>
      <c r="I161" s="1" t="s">
        <v>1679</v>
      </c>
      <c r="J161" s="1">
        <v>21.0</v>
      </c>
      <c r="K161" s="1">
        <v>0.0</v>
      </c>
      <c r="L161" s="1">
        <v>2006.0</v>
      </c>
      <c r="M161" s="1"/>
      <c r="N161" s="1"/>
      <c r="O161" s="1">
        <v>2017.0</v>
      </c>
      <c r="P161" s="1" t="s">
        <v>214</v>
      </c>
      <c r="Q161" s="4" t="s">
        <v>51</v>
      </c>
      <c r="R161" s="1" t="s">
        <v>52</v>
      </c>
      <c r="S161" s="1" t="s">
        <v>30</v>
      </c>
      <c r="T161" s="1" t="s">
        <v>60</v>
      </c>
      <c r="U161" s="1">
        <v>2006.0</v>
      </c>
      <c r="V161" s="1"/>
      <c r="W161" s="1"/>
      <c r="X161" s="4" t="s">
        <v>30</v>
      </c>
      <c r="Y161" s="4" t="s">
        <v>30</v>
      </c>
      <c r="Z161" s="1" t="s">
        <v>1735</v>
      </c>
      <c r="AA161" s="1" t="s">
        <v>1735</v>
      </c>
      <c r="AB161" s="1" t="s">
        <v>1225</v>
      </c>
      <c r="AC161" s="1" t="s">
        <v>261</v>
      </c>
      <c r="AD161" s="1" t="s">
        <v>174</v>
      </c>
      <c r="AE161" s="1" t="s">
        <v>112</v>
      </c>
      <c r="AF161" s="1" t="s">
        <v>1736</v>
      </c>
      <c r="AG161" s="4" t="s">
        <v>62</v>
      </c>
      <c r="AH161" s="1">
        <v>8.0</v>
      </c>
      <c r="AI161" s="1">
        <v>8.0</v>
      </c>
      <c r="AJ161" s="1">
        <v>7.0</v>
      </c>
      <c r="AK161" s="1">
        <f t="shared" si="1"/>
        <v>23</v>
      </c>
      <c r="AL161" s="1">
        <v>1.0</v>
      </c>
      <c r="AM161" s="1">
        <v>496.0</v>
      </c>
      <c r="AN161" s="1">
        <f t="shared" si="2"/>
        <v>496</v>
      </c>
      <c r="AO161" s="1">
        <f t="shared" si="4"/>
        <v>1.152016129</v>
      </c>
      <c r="AP161" s="4" t="s">
        <v>1466</v>
      </c>
    </row>
    <row r="162" ht="12.75" customHeight="1">
      <c r="A162" s="1" t="s">
        <v>829</v>
      </c>
      <c r="B162" s="1" t="s">
        <v>830</v>
      </c>
      <c r="C162" s="4" t="s">
        <v>44</v>
      </c>
      <c r="D162" s="1" t="s">
        <v>148</v>
      </c>
      <c r="E162" s="1" t="s">
        <v>153</v>
      </c>
      <c r="F162" s="1" t="s">
        <v>154</v>
      </c>
      <c r="G162" s="4" t="s">
        <v>1737</v>
      </c>
      <c r="H162" s="1" t="s">
        <v>65</v>
      </c>
      <c r="I162" s="1" t="s">
        <v>382</v>
      </c>
      <c r="J162" s="1">
        <v>21.0</v>
      </c>
      <c r="K162" s="1">
        <v>0.0</v>
      </c>
      <c r="L162" s="1">
        <v>2006.0</v>
      </c>
      <c r="M162" s="1"/>
      <c r="N162" s="1"/>
      <c r="O162" s="1">
        <v>2017.0</v>
      </c>
      <c r="P162" s="1" t="s">
        <v>214</v>
      </c>
      <c r="Q162" s="4" t="s">
        <v>51</v>
      </c>
      <c r="R162" s="1" t="s">
        <v>52</v>
      </c>
      <c r="S162" s="1" t="s">
        <v>106</v>
      </c>
      <c r="T162" s="4" t="s">
        <v>1738</v>
      </c>
      <c r="U162" s="1">
        <v>1949.0</v>
      </c>
      <c r="V162" s="1"/>
      <c r="W162" s="1"/>
      <c r="X162" s="4" t="s">
        <v>55</v>
      </c>
      <c r="Y162" s="4" t="s">
        <v>148</v>
      </c>
      <c r="Z162" s="1" t="s">
        <v>154</v>
      </c>
      <c r="AA162" s="1" t="s">
        <v>1739</v>
      </c>
      <c r="AB162" s="1" t="s">
        <v>478</v>
      </c>
      <c r="AC162" s="1" t="s">
        <v>92</v>
      </c>
      <c r="AD162" s="1" t="s">
        <v>1740</v>
      </c>
      <c r="AE162" s="1" t="s">
        <v>60</v>
      </c>
      <c r="AF162" s="1" t="s">
        <v>60</v>
      </c>
      <c r="AG162" s="4" t="s">
        <v>62</v>
      </c>
      <c r="AH162" s="1">
        <v>6.0</v>
      </c>
      <c r="AI162" s="1">
        <v>7.0</v>
      </c>
      <c r="AJ162" s="1">
        <v>5.0</v>
      </c>
      <c r="AK162" s="1">
        <f t="shared" si="1"/>
        <v>18</v>
      </c>
      <c r="AL162" s="1">
        <v>1.0</v>
      </c>
      <c r="AM162" s="1">
        <v>496.0</v>
      </c>
      <c r="AN162" s="1">
        <f t="shared" si="2"/>
        <v>496</v>
      </c>
      <c r="AO162" s="1">
        <f t="shared" si="4"/>
        <v>0.902016129</v>
      </c>
      <c r="AP162" s="4" t="s">
        <v>831</v>
      </c>
    </row>
    <row r="163" ht="12.75" customHeight="1">
      <c r="A163" s="1" t="s">
        <v>1464</v>
      </c>
      <c r="B163" s="1" t="s">
        <v>1467</v>
      </c>
      <c r="C163" s="4" t="s">
        <v>44</v>
      </c>
      <c r="D163" s="1" t="s">
        <v>45</v>
      </c>
      <c r="E163" s="4" t="s">
        <v>124</v>
      </c>
      <c r="F163" s="1" t="s">
        <v>126</v>
      </c>
      <c r="G163" s="1"/>
      <c r="H163" s="1" t="s">
        <v>65</v>
      </c>
      <c r="I163" s="1" t="s">
        <v>1679</v>
      </c>
      <c r="J163" s="1">
        <v>21.0</v>
      </c>
      <c r="K163" s="1">
        <v>0.0</v>
      </c>
      <c r="L163" s="1">
        <v>2007.0</v>
      </c>
      <c r="M163" s="1"/>
      <c r="N163" s="1"/>
      <c r="O163" s="1">
        <v>2017.0</v>
      </c>
      <c r="P163" s="1" t="s">
        <v>105</v>
      </c>
      <c r="Q163" s="4" t="s">
        <v>51</v>
      </c>
      <c r="R163" s="1" t="s">
        <v>52</v>
      </c>
      <c r="S163" s="1" t="s">
        <v>53</v>
      </c>
      <c r="T163" s="1" t="s">
        <v>60</v>
      </c>
      <c r="U163" s="1">
        <v>2007.0</v>
      </c>
      <c r="V163" s="1"/>
      <c r="W163" s="1"/>
      <c r="X163" s="4" t="s">
        <v>30</v>
      </c>
      <c r="Y163" s="4" t="s">
        <v>30</v>
      </c>
      <c r="Z163" s="1" t="s">
        <v>1735</v>
      </c>
      <c r="AA163" s="1" t="s">
        <v>1735</v>
      </c>
      <c r="AB163" s="1" t="s">
        <v>1225</v>
      </c>
      <c r="AC163" s="1" t="s">
        <v>261</v>
      </c>
      <c r="AD163" s="1" t="s">
        <v>174</v>
      </c>
      <c r="AE163" s="1" t="s">
        <v>112</v>
      </c>
      <c r="AF163" s="1" t="s">
        <v>1736</v>
      </c>
      <c r="AG163" s="4" t="s">
        <v>62</v>
      </c>
      <c r="AH163" s="1">
        <v>7.0</v>
      </c>
      <c r="AI163" s="1">
        <v>7.0</v>
      </c>
      <c r="AJ163" s="1">
        <v>7.0</v>
      </c>
      <c r="AK163" s="1">
        <f t="shared" si="1"/>
        <v>21</v>
      </c>
      <c r="AL163" s="1">
        <v>1.0</v>
      </c>
      <c r="AM163" s="1">
        <v>512.0</v>
      </c>
      <c r="AN163" s="1">
        <f t="shared" si="2"/>
        <v>512</v>
      </c>
      <c r="AO163" s="1">
        <f t="shared" si="4"/>
        <v>1.051953125</v>
      </c>
      <c r="AP163" s="4" t="s">
        <v>1468</v>
      </c>
    </row>
    <row r="164" ht="12.75" customHeight="1">
      <c r="A164" s="1" t="s">
        <v>899</v>
      </c>
      <c r="B164" s="1" t="s">
        <v>900</v>
      </c>
      <c r="C164" s="4" t="s">
        <v>44</v>
      </c>
      <c r="D164" s="1" t="s">
        <v>99</v>
      </c>
      <c r="E164" s="1" t="s">
        <v>180</v>
      </c>
      <c r="F164" s="1" t="s">
        <v>183</v>
      </c>
      <c r="G164" s="1" t="s">
        <v>900</v>
      </c>
      <c r="H164" s="1" t="s">
        <v>65</v>
      </c>
      <c r="I164" s="1" t="s">
        <v>1741</v>
      </c>
      <c r="J164" s="1">
        <v>21.0</v>
      </c>
      <c r="K164" s="1">
        <v>10.0</v>
      </c>
      <c r="L164" s="1">
        <v>2011.0</v>
      </c>
      <c r="M164" s="1"/>
      <c r="N164" s="1"/>
      <c r="O164" s="1">
        <v>2017.0</v>
      </c>
      <c r="P164" s="1" t="s">
        <v>105</v>
      </c>
      <c r="Q164" s="4" t="s">
        <v>51</v>
      </c>
      <c r="R164" s="1" t="s">
        <v>136</v>
      </c>
      <c r="S164" s="1" t="s">
        <v>138</v>
      </c>
      <c r="T164" s="4" t="s">
        <v>106</v>
      </c>
      <c r="U164" s="1">
        <v>2000.0</v>
      </c>
      <c r="V164" s="1"/>
      <c r="W164" s="1"/>
      <c r="X164" s="4" t="s">
        <v>55</v>
      </c>
      <c r="Y164" s="4" t="s">
        <v>99</v>
      </c>
      <c r="Z164" s="4" t="s">
        <v>197</v>
      </c>
      <c r="AA164" s="4" t="s">
        <v>197</v>
      </c>
      <c r="AB164" s="4" t="s">
        <v>197</v>
      </c>
      <c r="AC164" s="4" t="s">
        <v>1742</v>
      </c>
      <c r="AD164" s="1" t="s">
        <v>1743</v>
      </c>
      <c r="AE164" s="1" t="s">
        <v>60</v>
      </c>
      <c r="AF164" s="1" t="s">
        <v>1687</v>
      </c>
      <c r="AG164" s="4" t="s">
        <v>62</v>
      </c>
      <c r="AH164" s="1">
        <v>7.0</v>
      </c>
      <c r="AI164" s="1">
        <v>9.0</v>
      </c>
      <c r="AJ164" s="1">
        <v>7.0</v>
      </c>
      <c r="AK164" s="1">
        <f t="shared" si="1"/>
        <v>23</v>
      </c>
      <c r="AL164" s="1">
        <v>1.0</v>
      </c>
      <c r="AM164" s="1">
        <v>377.0</v>
      </c>
      <c r="AN164" s="1">
        <f t="shared" si="2"/>
        <v>377</v>
      </c>
      <c r="AO164" s="1">
        <f t="shared" si="4"/>
        <v>1.15265252</v>
      </c>
      <c r="AP164" s="4" t="s">
        <v>901</v>
      </c>
    </row>
    <row r="165" ht="12.75" customHeight="1">
      <c r="A165" s="1" t="s">
        <v>1384</v>
      </c>
      <c r="B165" s="1" t="s">
        <v>1385</v>
      </c>
      <c r="C165" s="4" t="s">
        <v>44</v>
      </c>
      <c r="D165" s="1" t="s">
        <v>45</v>
      </c>
      <c r="E165" s="4" t="s">
        <v>124</v>
      </c>
      <c r="F165" s="1" t="s">
        <v>126</v>
      </c>
      <c r="G165" s="1"/>
      <c r="H165" s="1" t="s">
        <v>65</v>
      </c>
      <c r="I165" s="1" t="s">
        <v>1668</v>
      </c>
      <c r="J165" s="1">
        <v>21.0</v>
      </c>
      <c r="K165" s="1">
        <v>10.0</v>
      </c>
      <c r="L165" s="1">
        <v>2011.0</v>
      </c>
      <c r="M165" s="1"/>
      <c r="N165" s="1"/>
      <c r="O165" s="1">
        <v>2017.0</v>
      </c>
      <c r="P165" s="1" t="s">
        <v>105</v>
      </c>
      <c r="Q165" s="4" t="s">
        <v>51</v>
      </c>
      <c r="R165" s="1" t="s">
        <v>52</v>
      </c>
      <c r="S165" s="1" t="s">
        <v>293</v>
      </c>
      <c r="T165" s="4" t="s">
        <v>508</v>
      </c>
      <c r="U165" s="1">
        <v>1850.0</v>
      </c>
      <c r="V165" s="1"/>
      <c r="W165" s="1"/>
      <c r="X165" s="4" t="s">
        <v>55</v>
      </c>
      <c r="Y165" s="4" t="s">
        <v>45</v>
      </c>
      <c r="Z165" s="1" t="s">
        <v>126</v>
      </c>
      <c r="AA165" s="4" t="s">
        <v>1744</v>
      </c>
      <c r="AB165" s="4" t="s">
        <v>1744</v>
      </c>
      <c r="AC165" s="1" t="s">
        <v>92</v>
      </c>
      <c r="AD165" s="1" t="s">
        <v>1745</v>
      </c>
      <c r="AE165" s="1" t="s">
        <v>60</v>
      </c>
      <c r="AF165" s="1" t="s">
        <v>1687</v>
      </c>
      <c r="AG165" s="4" t="s">
        <v>62</v>
      </c>
      <c r="AH165" s="1">
        <v>6.0</v>
      </c>
      <c r="AI165" s="1">
        <v>7.0</v>
      </c>
      <c r="AJ165" s="1">
        <v>6.0</v>
      </c>
      <c r="AK165" s="1">
        <f t="shared" si="1"/>
        <v>19</v>
      </c>
      <c r="AL165" s="1">
        <v>1.0</v>
      </c>
      <c r="AM165" s="1">
        <v>208.0</v>
      </c>
      <c r="AN165" s="1">
        <f t="shared" si="2"/>
        <v>208</v>
      </c>
      <c r="AO165" s="1">
        <f t="shared" si="4"/>
        <v>0.9548076923</v>
      </c>
      <c r="AP165" s="4" t="s">
        <v>1386</v>
      </c>
    </row>
    <row r="166" ht="12.75" customHeight="1">
      <c r="A166" s="1" t="s">
        <v>1424</v>
      </c>
      <c r="B166" s="1" t="s">
        <v>1425</v>
      </c>
      <c r="C166" s="4" t="s">
        <v>44</v>
      </c>
      <c r="D166" s="1" t="s">
        <v>45</v>
      </c>
      <c r="E166" s="4" t="s">
        <v>124</v>
      </c>
      <c r="F166" s="1" t="s">
        <v>126</v>
      </c>
      <c r="G166" s="4" t="s">
        <v>1746</v>
      </c>
      <c r="H166" s="1" t="s">
        <v>65</v>
      </c>
      <c r="I166" s="1" t="s">
        <v>1222</v>
      </c>
      <c r="J166" s="1">
        <v>21.0</v>
      </c>
      <c r="K166" s="1">
        <v>10.0</v>
      </c>
      <c r="L166" s="1">
        <v>2011.0</v>
      </c>
      <c r="M166" s="1"/>
      <c r="N166" s="1"/>
      <c r="O166" s="1">
        <v>2017.0</v>
      </c>
      <c r="P166" s="1" t="s">
        <v>105</v>
      </c>
      <c r="Q166" s="4" t="s">
        <v>51</v>
      </c>
      <c r="R166" s="1" t="s">
        <v>52</v>
      </c>
      <c r="S166" s="1" t="s">
        <v>53</v>
      </c>
      <c r="T166" s="4" t="s">
        <v>583</v>
      </c>
      <c r="U166" s="1">
        <v>1940.0</v>
      </c>
      <c r="V166" s="4">
        <v>9.0</v>
      </c>
      <c r="W166" s="4">
        <v>3.0</v>
      </c>
      <c r="X166" s="4" t="s">
        <v>55</v>
      </c>
      <c r="Y166" s="4" t="s">
        <v>99</v>
      </c>
      <c r="Z166" s="1" t="s">
        <v>1747</v>
      </c>
      <c r="AA166" s="4" t="s">
        <v>1748</v>
      </c>
      <c r="AB166" s="1" t="s">
        <v>1749</v>
      </c>
      <c r="AC166" s="1" t="s">
        <v>261</v>
      </c>
      <c r="AD166" s="1" t="s">
        <v>111</v>
      </c>
      <c r="AE166" s="1" t="s">
        <v>112</v>
      </c>
      <c r="AF166" s="1" t="s">
        <v>60</v>
      </c>
      <c r="AG166" s="4" t="s">
        <v>62</v>
      </c>
      <c r="AH166" s="1">
        <v>6.0</v>
      </c>
      <c r="AI166" s="1">
        <v>7.0</v>
      </c>
      <c r="AJ166" s="1">
        <v>6.0</v>
      </c>
      <c r="AK166" s="1">
        <f t="shared" si="1"/>
        <v>19</v>
      </c>
      <c r="AL166" s="1">
        <v>1.0</v>
      </c>
      <c r="AM166" s="1">
        <v>336.0</v>
      </c>
      <c r="AN166" s="1">
        <f t="shared" si="2"/>
        <v>336</v>
      </c>
      <c r="AO166" s="1">
        <f t="shared" si="4"/>
        <v>0.9529761905</v>
      </c>
      <c r="AP166" s="4" t="s">
        <v>1426</v>
      </c>
    </row>
    <row r="167" ht="12.75" customHeight="1">
      <c r="A167" s="1" t="s">
        <v>776</v>
      </c>
      <c r="B167" s="1" t="s">
        <v>777</v>
      </c>
      <c r="C167" s="4" t="s">
        <v>44</v>
      </c>
      <c r="D167" s="1" t="s">
        <v>94</v>
      </c>
      <c r="E167" s="1" t="s">
        <v>95</v>
      </c>
      <c r="F167" s="1" t="s">
        <v>116</v>
      </c>
      <c r="G167" s="4" t="s">
        <v>1750</v>
      </c>
      <c r="H167" s="1" t="s">
        <v>48</v>
      </c>
      <c r="I167" s="1" t="s">
        <v>1684</v>
      </c>
      <c r="J167" s="4">
        <v>20.0</v>
      </c>
      <c r="K167" s="4">
        <v>70.0</v>
      </c>
      <c r="L167" s="4">
        <v>1979.0</v>
      </c>
      <c r="M167" s="1"/>
      <c r="N167" s="1"/>
      <c r="O167" s="1">
        <v>2017.0</v>
      </c>
      <c r="P167" s="1" t="s">
        <v>105</v>
      </c>
      <c r="Q167" s="4" t="s">
        <v>51</v>
      </c>
      <c r="R167" s="1" t="s">
        <v>52</v>
      </c>
      <c r="S167" s="1" t="s">
        <v>271</v>
      </c>
      <c r="T167" s="4" t="s">
        <v>410</v>
      </c>
      <c r="U167" s="4">
        <v>1930.0</v>
      </c>
      <c r="V167" s="1"/>
      <c r="W167" s="1"/>
      <c r="X167" s="4" t="s">
        <v>55</v>
      </c>
      <c r="Y167" s="4" t="s">
        <v>94</v>
      </c>
      <c r="Z167" s="1" t="s">
        <v>116</v>
      </c>
      <c r="AA167" s="1" t="s">
        <v>1751</v>
      </c>
      <c r="AB167" s="1" t="s">
        <v>1751</v>
      </c>
      <c r="AC167" s="1" t="s">
        <v>58</v>
      </c>
      <c r="AD167" s="1" t="s">
        <v>1726</v>
      </c>
      <c r="AE167" s="1" t="s">
        <v>60</v>
      </c>
      <c r="AF167" s="1" t="s">
        <v>1687</v>
      </c>
      <c r="AG167" s="4" t="s">
        <v>62</v>
      </c>
      <c r="AH167" s="1">
        <v>8.0</v>
      </c>
      <c r="AI167" s="1">
        <v>9.0</v>
      </c>
      <c r="AJ167" s="1">
        <v>7.0</v>
      </c>
      <c r="AK167" s="1">
        <f t="shared" si="1"/>
        <v>24</v>
      </c>
      <c r="AL167" s="1">
        <v>1.0</v>
      </c>
      <c r="AM167" s="1">
        <v>320.0</v>
      </c>
      <c r="AN167" s="1">
        <f t="shared" si="2"/>
        <v>320</v>
      </c>
      <c r="AO167" s="1">
        <f t="shared" si="4"/>
        <v>1.203125</v>
      </c>
      <c r="AP167" s="1"/>
    </row>
    <row r="168" ht="12.75" customHeight="1">
      <c r="A168" s="1" t="s">
        <v>1581</v>
      </c>
      <c r="B168" s="1" t="s">
        <v>1582</v>
      </c>
      <c r="C168" s="4" t="s">
        <v>44</v>
      </c>
      <c r="D168" s="1" t="s">
        <v>45</v>
      </c>
      <c r="E168" s="1" t="s">
        <v>46</v>
      </c>
      <c r="F168" s="1" t="s">
        <v>47</v>
      </c>
      <c r="G168" s="1" t="s">
        <v>1582</v>
      </c>
      <c r="H168" s="1" t="s">
        <v>65</v>
      </c>
      <c r="I168" s="1" t="s">
        <v>1684</v>
      </c>
      <c r="J168" s="1">
        <v>21.0</v>
      </c>
      <c r="K168" s="1">
        <v>10.0</v>
      </c>
      <c r="L168" s="1">
        <v>2017.0</v>
      </c>
      <c r="M168" s="1"/>
      <c r="N168" s="1"/>
      <c r="O168" s="1">
        <v>2017.0</v>
      </c>
      <c r="P168" s="1" t="s">
        <v>105</v>
      </c>
      <c r="Q168" s="4" t="s">
        <v>51</v>
      </c>
      <c r="R168" s="1" t="s">
        <v>266</v>
      </c>
      <c r="S168" s="1" t="s">
        <v>106</v>
      </c>
      <c r="T168" s="4" t="s">
        <v>106</v>
      </c>
      <c r="U168" s="1">
        <v>2017.0</v>
      </c>
      <c r="V168" s="1"/>
      <c r="W168" s="1"/>
      <c r="X168" s="4" t="s">
        <v>139</v>
      </c>
      <c r="Y168" s="1" t="s">
        <v>139</v>
      </c>
      <c r="Z168" s="1" t="s">
        <v>139</v>
      </c>
      <c r="AA168" s="1" t="s">
        <v>139</v>
      </c>
      <c r="AB168" s="1" t="s">
        <v>139</v>
      </c>
      <c r="AC168" s="1" t="s">
        <v>69</v>
      </c>
      <c r="AD168" s="1" t="s">
        <v>1700</v>
      </c>
      <c r="AE168" s="1" t="s">
        <v>60</v>
      </c>
      <c r="AF168" s="1" t="s">
        <v>1687</v>
      </c>
      <c r="AG168" s="4" t="s">
        <v>62</v>
      </c>
      <c r="AH168" s="1">
        <v>6.0</v>
      </c>
      <c r="AI168" s="1">
        <v>6.0</v>
      </c>
      <c r="AJ168" s="1">
        <v>6.0</v>
      </c>
      <c r="AK168" s="1">
        <f t="shared" si="1"/>
        <v>18</v>
      </c>
      <c r="AL168" s="1">
        <v>1.0</v>
      </c>
      <c r="AM168" s="1">
        <v>272.0</v>
      </c>
      <c r="AN168" s="1">
        <f t="shared" si="2"/>
        <v>272</v>
      </c>
      <c r="AO168" s="1">
        <f t="shared" si="4"/>
        <v>0.9036764706</v>
      </c>
      <c r="AP168" s="4" t="s">
        <v>1583</v>
      </c>
    </row>
    <row r="169" ht="12.75" customHeight="1">
      <c r="A169" s="1" t="s">
        <v>805</v>
      </c>
      <c r="B169" s="1" t="s">
        <v>806</v>
      </c>
      <c r="C169" s="4" t="s">
        <v>44</v>
      </c>
      <c r="D169" s="1" t="s">
        <v>94</v>
      </c>
      <c r="E169" s="1" t="s">
        <v>95</v>
      </c>
      <c r="F169" s="1" t="s">
        <v>116</v>
      </c>
      <c r="G169" s="1"/>
      <c r="H169" s="1" t="s">
        <v>48</v>
      </c>
      <c r="I169" s="1" t="s">
        <v>421</v>
      </c>
      <c r="J169" s="1">
        <v>21.0</v>
      </c>
      <c r="K169" s="1">
        <v>0.0</v>
      </c>
      <c r="L169" s="1">
        <v>2002.0</v>
      </c>
      <c r="M169" s="4">
        <v>12.0</v>
      </c>
      <c r="N169" s="4">
        <v>1.0</v>
      </c>
      <c r="O169" s="1">
        <v>2018.0</v>
      </c>
      <c r="P169" s="1" t="s">
        <v>105</v>
      </c>
      <c r="Q169" s="4" t="s">
        <v>51</v>
      </c>
      <c r="R169" s="1" t="s">
        <v>266</v>
      </c>
      <c r="S169" s="1" t="s">
        <v>271</v>
      </c>
      <c r="T169" s="4" t="s">
        <v>106</v>
      </c>
      <c r="U169" s="1">
        <v>2002.0</v>
      </c>
      <c r="V169" s="1"/>
      <c r="W169" s="1"/>
      <c r="X169" s="4" t="s">
        <v>55</v>
      </c>
      <c r="Y169" s="4" t="s">
        <v>45</v>
      </c>
      <c r="Z169" s="1" t="s">
        <v>126</v>
      </c>
      <c r="AA169" s="12" t="s">
        <v>1752</v>
      </c>
      <c r="AB169" s="12" t="s">
        <v>1752</v>
      </c>
      <c r="AC169" s="1" t="s">
        <v>465</v>
      </c>
      <c r="AD169" s="4" t="s">
        <v>1753</v>
      </c>
      <c r="AE169" s="1" t="s">
        <v>60</v>
      </c>
      <c r="AF169" s="4" t="s">
        <v>1754</v>
      </c>
      <c r="AG169" s="4" t="s">
        <v>62</v>
      </c>
      <c r="AH169" s="1">
        <v>7.0</v>
      </c>
      <c r="AI169" s="1">
        <v>7.0</v>
      </c>
      <c r="AJ169" s="1">
        <v>7.0</v>
      </c>
      <c r="AK169" s="1">
        <f t="shared" si="1"/>
        <v>21</v>
      </c>
      <c r="AL169" s="1">
        <v>1.0</v>
      </c>
      <c r="AM169" s="1">
        <v>240.0</v>
      </c>
      <c r="AN169" s="1">
        <f t="shared" si="2"/>
        <v>240</v>
      </c>
      <c r="AO169" s="1">
        <f t="shared" si="4"/>
        <v>1.054166667</v>
      </c>
      <c r="AP169" s="4" t="s">
        <v>807</v>
      </c>
    </row>
    <row r="170" ht="12.75" customHeight="1">
      <c r="A170" s="4" t="s">
        <v>1026</v>
      </c>
      <c r="B170" s="4" t="s">
        <v>1342</v>
      </c>
      <c r="C170" s="4" t="s">
        <v>44</v>
      </c>
      <c r="D170" s="1" t="s">
        <v>45</v>
      </c>
      <c r="E170" s="1" t="s">
        <v>46</v>
      </c>
      <c r="F170" s="1" t="s">
        <v>47</v>
      </c>
      <c r="G170" s="4" t="s">
        <v>1755</v>
      </c>
      <c r="H170" s="1" t="s">
        <v>65</v>
      </c>
      <c r="I170" s="4" t="s">
        <v>1756</v>
      </c>
      <c r="J170" s="4">
        <v>21.0</v>
      </c>
      <c r="K170" s="4">
        <v>0.0</v>
      </c>
      <c r="L170" s="4">
        <v>2000.0</v>
      </c>
      <c r="M170" s="4">
        <v>3.0</v>
      </c>
      <c r="N170" s="4">
        <v>10.0</v>
      </c>
      <c r="O170" s="4">
        <v>2018.0</v>
      </c>
      <c r="P170" s="1" t="s">
        <v>214</v>
      </c>
      <c r="Q170" s="4" t="s">
        <v>51</v>
      </c>
      <c r="R170" s="1" t="s">
        <v>136</v>
      </c>
      <c r="S170" s="1" t="s">
        <v>136</v>
      </c>
      <c r="T170" s="1" t="s">
        <v>75</v>
      </c>
      <c r="U170" s="4">
        <v>1965.0</v>
      </c>
      <c r="V170" s="1"/>
      <c r="W170" s="1"/>
      <c r="X170" s="4" t="s">
        <v>55</v>
      </c>
      <c r="Y170" s="4" t="s">
        <v>45</v>
      </c>
      <c r="Z170" s="1" t="s">
        <v>47</v>
      </c>
      <c r="AA170" s="1" t="s">
        <v>226</v>
      </c>
      <c r="AB170" s="4" t="s">
        <v>1757</v>
      </c>
      <c r="AC170" s="4" t="s">
        <v>1758</v>
      </c>
      <c r="AD170" s="1" t="s">
        <v>498</v>
      </c>
      <c r="AE170" s="1" t="s">
        <v>60</v>
      </c>
      <c r="AF170" s="1" t="s">
        <v>60</v>
      </c>
      <c r="AG170" s="4" t="s">
        <v>62</v>
      </c>
      <c r="AH170" s="1">
        <v>7.0</v>
      </c>
      <c r="AI170" s="1">
        <v>7.0</v>
      </c>
      <c r="AJ170" s="1">
        <v>7.0</v>
      </c>
      <c r="AK170" s="1">
        <f t="shared" si="1"/>
        <v>21</v>
      </c>
      <c r="AL170" s="1">
        <v>1.0</v>
      </c>
      <c r="AM170" s="4">
        <v>496.0</v>
      </c>
      <c r="AN170" s="1">
        <f t="shared" si="2"/>
        <v>496</v>
      </c>
      <c r="AO170" s="1">
        <f t="shared" si="4"/>
        <v>1.052016129</v>
      </c>
      <c r="AP170" s="4" t="s">
        <v>1343</v>
      </c>
    </row>
    <row r="171" ht="12.75" customHeight="1">
      <c r="A171" s="1" t="s">
        <v>1142</v>
      </c>
      <c r="B171" s="1" t="s">
        <v>1143</v>
      </c>
      <c r="C171" s="4" t="s">
        <v>44</v>
      </c>
      <c r="D171" s="1" t="s">
        <v>148</v>
      </c>
      <c r="E171" s="1" t="s">
        <v>153</v>
      </c>
      <c r="F171" s="1" t="s">
        <v>158</v>
      </c>
      <c r="G171" s="4" t="s">
        <v>1759</v>
      </c>
      <c r="H171" s="1" t="s">
        <v>65</v>
      </c>
      <c r="I171" s="1" t="s">
        <v>421</v>
      </c>
      <c r="J171" s="1">
        <v>20.0</v>
      </c>
      <c r="K171" s="1">
        <v>30.0</v>
      </c>
      <c r="L171" s="1">
        <v>1930.0</v>
      </c>
      <c r="M171" s="1"/>
      <c r="N171" s="1"/>
      <c r="O171" s="1">
        <v>2018.0</v>
      </c>
      <c r="P171" s="1" t="s">
        <v>105</v>
      </c>
      <c r="Q171" s="4" t="s">
        <v>51</v>
      </c>
      <c r="R171" s="1" t="s">
        <v>52</v>
      </c>
      <c r="S171" s="1" t="s">
        <v>106</v>
      </c>
      <c r="T171" s="4" t="s">
        <v>1760</v>
      </c>
      <c r="U171" s="1">
        <v>1930.0</v>
      </c>
      <c r="V171" s="1"/>
      <c r="W171" s="1"/>
      <c r="X171" s="4" t="s">
        <v>55</v>
      </c>
      <c r="Y171" s="4" t="s">
        <v>148</v>
      </c>
      <c r="Z171" s="1" t="s">
        <v>158</v>
      </c>
      <c r="AA171" s="1" t="s">
        <v>1761</v>
      </c>
      <c r="AB171" s="1" t="s">
        <v>1761</v>
      </c>
      <c r="AC171" s="1" t="s">
        <v>69</v>
      </c>
      <c r="AD171" s="1" t="s">
        <v>227</v>
      </c>
      <c r="AE171" s="1" t="s">
        <v>60</v>
      </c>
      <c r="AF171" s="1" t="s">
        <v>1687</v>
      </c>
      <c r="AG171" s="4" t="s">
        <v>62</v>
      </c>
      <c r="AH171" s="1">
        <v>7.0</v>
      </c>
      <c r="AI171" s="1">
        <v>7.0</v>
      </c>
      <c r="AJ171" s="1">
        <v>7.0</v>
      </c>
      <c r="AK171" s="1">
        <f t="shared" si="1"/>
        <v>21</v>
      </c>
      <c r="AL171" s="1">
        <v>1.0</v>
      </c>
      <c r="AM171" s="1">
        <v>246.0</v>
      </c>
      <c r="AN171" s="1">
        <f t="shared" si="2"/>
        <v>246</v>
      </c>
      <c r="AO171" s="1">
        <f t="shared" si="4"/>
        <v>1.054065041</v>
      </c>
      <c r="AP171" s="1"/>
    </row>
    <row r="172" ht="12.75" customHeight="1">
      <c r="A172" s="1" t="s">
        <v>784</v>
      </c>
      <c r="B172" s="1" t="s">
        <v>785</v>
      </c>
      <c r="C172" s="4" t="s">
        <v>44</v>
      </c>
      <c r="D172" s="1" t="s">
        <v>99</v>
      </c>
      <c r="E172" s="1" t="s">
        <v>173</v>
      </c>
      <c r="F172" s="1" t="s">
        <v>175</v>
      </c>
      <c r="G172" s="4" t="s">
        <v>785</v>
      </c>
      <c r="H172" s="1" t="s">
        <v>48</v>
      </c>
      <c r="I172" s="1" t="s">
        <v>1741</v>
      </c>
      <c r="J172" s="1">
        <v>20.0</v>
      </c>
      <c r="K172" s="1">
        <v>40.0</v>
      </c>
      <c r="L172" s="1">
        <v>1940.0</v>
      </c>
      <c r="M172" s="1"/>
      <c r="N172" s="1"/>
      <c r="O172" s="1">
        <v>2018.0</v>
      </c>
      <c r="P172" s="1" t="s">
        <v>105</v>
      </c>
      <c r="Q172" s="4" t="s">
        <v>51</v>
      </c>
      <c r="R172" s="1" t="s">
        <v>52</v>
      </c>
      <c r="S172" s="1" t="s">
        <v>106</v>
      </c>
      <c r="T172" s="1" t="s">
        <v>1762</v>
      </c>
      <c r="U172" s="1">
        <v>1945.0</v>
      </c>
      <c r="V172" s="1"/>
      <c r="W172" s="1"/>
      <c r="X172" s="4" t="s">
        <v>55</v>
      </c>
      <c r="Y172" s="4" t="s">
        <v>99</v>
      </c>
      <c r="Z172" s="1" t="s">
        <v>175</v>
      </c>
      <c r="AA172" s="1" t="s">
        <v>1763</v>
      </c>
      <c r="AB172" s="4" t="s">
        <v>1764</v>
      </c>
      <c r="AC172" s="1" t="s">
        <v>69</v>
      </c>
      <c r="AD172" s="1" t="s">
        <v>1765</v>
      </c>
      <c r="AE172" s="1" t="s">
        <v>60</v>
      </c>
      <c r="AF172" s="1" t="s">
        <v>1687</v>
      </c>
      <c r="AG172" s="4" t="s">
        <v>62</v>
      </c>
      <c r="AH172" s="1">
        <v>8.0</v>
      </c>
      <c r="AI172" s="1">
        <v>7.0</v>
      </c>
      <c r="AJ172" s="1">
        <v>8.0</v>
      </c>
      <c r="AK172" s="1">
        <f t="shared" si="1"/>
        <v>23</v>
      </c>
      <c r="AL172" s="1">
        <v>1.0</v>
      </c>
      <c r="AM172" s="1">
        <v>280.0</v>
      </c>
      <c r="AN172" s="1">
        <f t="shared" si="2"/>
        <v>280</v>
      </c>
      <c r="AO172" s="1">
        <f t="shared" si="4"/>
        <v>1.153571429</v>
      </c>
      <c r="AP172" s="4" t="s">
        <v>786</v>
      </c>
    </row>
    <row r="173" ht="12.75" customHeight="1">
      <c r="A173" s="1" t="s">
        <v>908</v>
      </c>
      <c r="B173" s="1" t="s">
        <v>909</v>
      </c>
      <c r="C173" s="4" t="s">
        <v>44</v>
      </c>
      <c r="D173" s="1" t="s">
        <v>99</v>
      </c>
      <c r="E173" s="1" t="s">
        <v>100</v>
      </c>
      <c r="F173" s="1" t="s">
        <v>101</v>
      </c>
      <c r="G173" s="1"/>
      <c r="H173" s="1" t="s">
        <v>65</v>
      </c>
      <c r="I173" s="1" t="s">
        <v>421</v>
      </c>
      <c r="J173" s="1">
        <v>20.0</v>
      </c>
      <c r="K173" s="1">
        <v>40.0</v>
      </c>
      <c r="L173" s="1">
        <v>1945.0</v>
      </c>
      <c r="M173" s="1"/>
      <c r="N173" s="1"/>
      <c r="O173" s="1">
        <v>2018.0</v>
      </c>
      <c r="P173" s="1" t="s">
        <v>105</v>
      </c>
      <c r="Q173" s="4" t="s">
        <v>51</v>
      </c>
      <c r="R173" s="1" t="s">
        <v>52</v>
      </c>
      <c r="S173" s="1" t="s">
        <v>291</v>
      </c>
      <c r="T173" s="1" t="s">
        <v>1766</v>
      </c>
      <c r="U173" s="4">
        <v>1930.0</v>
      </c>
      <c r="V173" s="1"/>
      <c r="W173" s="1"/>
      <c r="X173" s="4" t="s">
        <v>55</v>
      </c>
      <c r="Y173" s="4" t="s">
        <v>99</v>
      </c>
      <c r="Z173" s="4" t="s">
        <v>101</v>
      </c>
      <c r="AA173" s="1" t="s">
        <v>1767</v>
      </c>
      <c r="AB173" s="4" t="s">
        <v>1768</v>
      </c>
      <c r="AC173" s="1" t="s">
        <v>69</v>
      </c>
      <c r="AD173" s="1" t="s">
        <v>1657</v>
      </c>
      <c r="AE173" s="1" t="s">
        <v>60</v>
      </c>
      <c r="AF173" s="1" t="s">
        <v>1687</v>
      </c>
      <c r="AG173" s="4" t="s">
        <v>62</v>
      </c>
      <c r="AH173" s="1">
        <v>7.0</v>
      </c>
      <c r="AI173" s="1">
        <v>6.0</v>
      </c>
      <c r="AJ173" s="1">
        <v>6.0</v>
      </c>
      <c r="AK173" s="1">
        <f t="shared" si="1"/>
        <v>19</v>
      </c>
      <c r="AL173" s="1">
        <v>1.0</v>
      </c>
      <c r="AM173" s="1">
        <v>390.0</v>
      </c>
      <c r="AN173" s="1">
        <f t="shared" si="2"/>
        <v>390</v>
      </c>
      <c r="AO173" s="1">
        <f t="shared" si="4"/>
        <v>0.9525641026</v>
      </c>
      <c r="AP173" s="4" t="s">
        <v>910</v>
      </c>
    </row>
    <row r="174" ht="12.75" customHeight="1">
      <c r="A174" s="1" t="s">
        <v>942</v>
      </c>
      <c r="B174" s="1" t="s">
        <v>943</v>
      </c>
      <c r="C174" s="4" t="s">
        <v>44</v>
      </c>
      <c r="D174" s="1" t="s">
        <v>99</v>
      </c>
      <c r="E174" s="1" t="s">
        <v>180</v>
      </c>
      <c r="F174" s="1" t="s">
        <v>186</v>
      </c>
      <c r="G174" s="4" t="s">
        <v>1769</v>
      </c>
      <c r="H174" s="1" t="s">
        <v>65</v>
      </c>
      <c r="I174" s="1" t="s">
        <v>519</v>
      </c>
      <c r="J174" s="1">
        <v>20.0</v>
      </c>
      <c r="K174" s="4">
        <v>50.0</v>
      </c>
      <c r="L174" s="4">
        <v>1958.0</v>
      </c>
      <c r="M174" s="1"/>
      <c r="N174" s="1"/>
      <c r="O174" s="1">
        <v>2018.0</v>
      </c>
      <c r="P174" s="1" t="s">
        <v>105</v>
      </c>
      <c r="Q174" s="4" t="s">
        <v>51</v>
      </c>
      <c r="R174" s="1" t="s">
        <v>266</v>
      </c>
      <c r="S174" s="1" t="s">
        <v>106</v>
      </c>
      <c r="T174" s="4" t="s">
        <v>1770</v>
      </c>
      <c r="U174" s="1">
        <v>1955.0</v>
      </c>
      <c r="V174" s="1"/>
      <c r="W174" s="1"/>
      <c r="X174" s="4" t="s">
        <v>55</v>
      </c>
      <c r="Y174" s="4" t="s">
        <v>99</v>
      </c>
      <c r="Z174" s="1" t="s">
        <v>186</v>
      </c>
      <c r="AA174" s="4" t="s">
        <v>1771</v>
      </c>
      <c r="AB174" s="4" t="s">
        <v>1771</v>
      </c>
      <c r="AC174" s="1" t="s">
        <v>69</v>
      </c>
      <c r="AD174" s="1" t="s">
        <v>1772</v>
      </c>
      <c r="AE174" s="1" t="s">
        <v>60</v>
      </c>
      <c r="AF174" s="1" t="s">
        <v>1687</v>
      </c>
      <c r="AG174" s="4" t="s">
        <v>62</v>
      </c>
      <c r="AH174" s="1">
        <v>7.0</v>
      </c>
      <c r="AI174" s="1">
        <v>8.0</v>
      </c>
      <c r="AJ174" s="1">
        <v>7.0</v>
      </c>
      <c r="AK174" s="1">
        <f t="shared" si="1"/>
        <v>22</v>
      </c>
      <c r="AL174" s="1">
        <v>1.0</v>
      </c>
      <c r="AM174" s="1">
        <v>226.0</v>
      </c>
      <c r="AN174" s="1">
        <f t="shared" si="2"/>
        <v>226</v>
      </c>
      <c r="AO174" s="1">
        <f t="shared" si="4"/>
        <v>1.104424779</v>
      </c>
      <c r="AP174" s="4" t="s">
        <v>944</v>
      </c>
    </row>
    <row r="175" ht="12.75" customHeight="1">
      <c r="A175" s="1" t="s">
        <v>1308</v>
      </c>
      <c r="B175" s="1" t="s">
        <v>1309</v>
      </c>
      <c r="C175" s="4" t="s">
        <v>44</v>
      </c>
      <c r="D175" s="1" t="s">
        <v>99</v>
      </c>
      <c r="E175" s="1" t="s">
        <v>173</v>
      </c>
      <c r="F175" s="1" t="s">
        <v>175</v>
      </c>
      <c r="G175" s="4" t="s">
        <v>1773</v>
      </c>
      <c r="H175" s="1" t="s">
        <v>48</v>
      </c>
      <c r="I175" s="1" t="s">
        <v>1668</v>
      </c>
      <c r="J175" s="1">
        <v>20.0</v>
      </c>
      <c r="K175" s="1">
        <v>60.0</v>
      </c>
      <c r="L175" s="1">
        <v>1962.0</v>
      </c>
      <c r="M175" s="1"/>
      <c r="N175" s="1"/>
      <c r="O175" s="1">
        <v>2018.0</v>
      </c>
      <c r="P175" s="1" t="s">
        <v>105</v>
      </c>
      <c r="Q175" s="4" t="s">
        <v>51</v>
      </c>
      <c r="R175" s="1" t="s">
        <v>52</v>
      </c>
      <c r="S175" s="1" t="s">
        <v>106</v>
      </c>
      <c r="T175" s="4" t="s">
        <v>1774</v>
      </c>
      <c r="U175" s="1">
        <v>1939.0</v>
      </c>
      <c r="V175" s="1"/>
      <c r="W175" s="1"/>
      <c r="X175" s="4" t="s">
        <v>55</v>
      </c>
      <c r="Y175" s="4" t="s">
        <v>99</v>
      </c>
      <c r="Z175" s="1" t="s">
        <v>175</v>
      </c>
      <c r="AA175" s="1" t="s">
        <v>1763</v>
      </c>
      <c r="AB175" s="4" t="s">
        <v>1775</v>
      </c>
      <c r="AC175" s="1" t="s">
        <v>92</v>
      </c>
      <c r="AD175" s="1" t="s">
        <v>241</v>
      </c>
      <c r="AE175" s="1" t="s">
        <v>60</v>
      </c>
      <c r="AF175" s="1" t="s">
        <v>1687</v>
      </c>
      <c r="AG175" s="4" t="s">
        <v>62</v>
      </c>
      <c r="AH175" s="1">
        <v>7.0</v>
      </c>
      <c r="AI175" s="1">
        <v>8.0</v>
      </c>
      <c r="AJ175" s="1">
        <v>7.0</v>
      </c>
      <c r="AK175" s="1">
        <f t="shared" si="1"/>
        <v>22</v>
      </c>
      <c r="AL175" s="1">
        <v>1.0</v>
      </c>
      <c r="AM175" s="1">
        <v>256.0</v>
      </c>
      <c r="AN175" s="1">
        <f t="shared" si="2"/>
        <v>256</v>
      </c>
      <c r="AO175" s="1">
        <f t="shared" si="4"/>
        <v>1.10390625</v>
      </c>
      <c r="AP175" s="4" t="s">
        <v>1310</v>
      </c>
    </row>
    <row r="176" ht="12.75" customHeight="1">
      <c r="A176" s="1" t="s">
        <v>1415</v>
      </c>
      <c r="B176" s="1" t="s">
        <v>1416</v>
      </c>
      <c r="C176" s="4" t="s">
        <v>44</v>
      </c>
      <c r="D176" s="1" t="s">
        <v>45</v>
      </c>
      <c r="E176" s="1" t="s">
        <v>46</v>
      </c>
      <c r="F176" s="1" t="s">
        <v>47</v>
      </c>
      <c r="G176" s="1" t="s">
        <v>1416</v>
      </c>
      <c r="H176" s="1" t="s">
        <v>48</v>
      </c>
      <c r="I176" s="1" t="s">
        <v>1776</v>
      </c>
      <c r="J176" s="1">
        <v>20.0</v>
      </c>
      <c r="K176" s="4">
        <v>30.0</v>
      </c>
      <c r="L176" s="4">
        <v>1939.0</v>
      </c>
      <c r="M176" s="1"/>
      <c r="N176" s="1"/>
      <c r="O176" s="1">
        <v>2018.0</v>
      </c>
      <c r="P176" s="1" t="s">
        <v>105</v>
      </c>
      <c r="Q176" s="4" t="s">
        <v>51</v>
      </c>
      <c r="R176" s="1" t="s">
        <v>52</v>
      </c>
      <c r="S176" s="1" t="s">
        <v>269</v>
      </c>
      <c r="T176" s="1" t="s">
        <v>239</v>
      </c>
      <c r="U176" s="4">
        <v>1920.0</v>
      </c>
      <c r="V176" s="1"/>
      <c r="W176" s="1"/>
      <c r="X176" s="4" t="s">
        <v>55</v>
      </c>
      <c r="Y176" s="4" t="s">
        <v>45</v>
      </c>
      <c r="Z176" s="1" t="s">
        <v>47</v>
      </c>
      <c r="AA176" s="1" t="s">
        <v>411</v>
      </c>
      <c r="AB176" s="1" t="s">
        <v>1777</v>
      </c>
      <c r="AC176" s="1" t="s">
        <v>69</v>
      </c>
      <c r="AD176" s="1" t="s">
        <v>1749</v>
      </c>
      <c r="AE176" s="1" t="s">
        <v>60</v>
      </c>
      <c r="AF176" s="1" t="s">
        <v>1687</v>
      </c>
      <c r="AG176" s="4" t="s">
        <v>62</v>
      </c>
      <c r="AH176" s="1">
        <v>6.0</v>
      </c>
      <c r="AI176" s="1">
        <v>7.0</v>
      </c>
      <c r="AJ176" s="1">
        <v>6.0</v>
      </c>
      <c r="AK176" s="1">
        <f t="shared" si="1"/>
        <v>19</v>
      </c>
      <c r="AL176" s="1">
        <v>1.0</v>
      </c>
      <c r="AM176" s="1">
        <v>224.0</v>
      </c>
      <c r="AN176" s="1">
        <f t="shared" si="2"/>
        <v>224</v>
      </c>
      <c r="AO176" s="1">
        <f t="shared" si="4"/>
        <v>0.9544642857</v>
      </c>
      <c r="AP176" s="4" t="s">
        <v>1417</v>
      </c>
    </row>
    <row r="177" ht="12.75" customHeight="1">
      <c r="A177" s="1" t="s">
        <v>1559</v>
      </c>
      <c r="B177" s="1" t="s">
        <v>1560</v>
      </c>
      <c r="C177" s="4" t="s">
        <v>44</v>
      </c>
      <c r="D177" s="1" t="s">
        <v>45</v>
      </c>
      <c r="E177" s="4" t="s">
        <v>124</v>
      </c>
      <c r="F177" s="1" t="s">
        <v>126</v>
      </c>
      <c r="G177" s="4" t="s">
        <v>1778</v>
      </c>
      <c r="H177" s="1" t="s">
        <v>65</v>
      </c>
      <c r="I177" s="1" t="s">
        <v>421</v>
      </c>
      <c r="J177" s="1">
        <v>20.0</v>
      </c>
      <c r="K177" s="1">
        <v>70.0</v>
      </c>
      <c r="L177" s="1">
        <v>1973.0</v>
      </c>
      <c r="M177" s="1"/>
      <c r="N177" s="1"/>
      <c r="O177" s="1">
        <v>2018.0</v>
      </c>
      <c r="P177" s="1" t="s">
        <v>214</v>
      </c>
      <c r="Q177" s="4" t="s">
        <v>51</v>
      </c>
      <c r="R177" s="1" t="s">
        <v>52</v>
      </c>
      <c r="S177" s="1" t="s">
        <v>244</v>
      </c>
      <c r="T177" s="1" t="s">
        <v>583</v>
      </c>
      <c r="U177" s="4">
        <v>1944.0</v>
      </c>
      <c r="V177" s="4">
        <v>12.0</v>
      </c>
      <c r="W177" s="4">
        <v>26.0</v>
      </c>
      <c r="X177" s="4" t="s">
        <v>55</v>
      </c>
      <c r="Y177" s="4" t="s">
        <v>99</v>
      </c>
      <c r="Z177" s="4" t="s">
        <v>1779</v>
      </c>
      <c r="AA177" s="4" t="s">
        <v>1780</v>
      </c>
      <c r="AB177" s="4" t="s">
        <v>1780</v>
      </c>
      <c r="AC177" s="1" t="s">
        <v>1781</v>
      </c>
      <c r="AD177" s="1" t="s">
        <v>1743</v>
      </c>
      <c r="AE177" s="1" t="s">
        <v>60</v>
      </c>
      <c r="AF177" s="1" t="s">
        <v>60</v>
      </c>
      <c r="AG177" s="4" t="s">
        <v>62</v>
      </c>
      <c r="AH177" s="1">
        <v>6.0</v>
      </c>
      <c r="AI177" s="1">
        <v>8.0</v>
      </c>
      <c r="AJ177" s="1">
        <v>6.0</v>
      </c>
      <c r="AK177" s="1">
        <f t="shared" si="1"/>
        <v>20</v>
      </c>
      <c r="AL177" s="1">
        <v>1.0</v>
      </c>
      <c r="AM177" s="1">
        <v>736.0</v>
      </c>
      <c r="AN177" s="1">
        <f t="shared" si="2"/>
        <v>736</v>
      </c>
      <c r="AO177" s="1">
        <f t="shared" si="4"/>
        <v>1.001358696</v>
      </c>
      <c r="AP177" s="4" t="s">
        <v>1561</v>
      </c>
    </row>
    <row r="178" ht="12.75" customHeight="1">
      <c r="A178" s="1" t="s">
        <v>1516</v>
      </c>
      <c r="B178" s="1" t="s">
        <v>1517</v>
      </c>
      <c r="C178" s="4" t="s">
        <v>44</v>
      </c>
      <c r="D178" s="1" t="s">
        <v>99</v>
      </c>
      <c r="E178" s="1" t="s">
        <v>187</v>
      </c>
      <c r="F178" s="1" t="s">
        <v>188</v>
      </c>
      <c r="G178" s="1"/>
      <c r="H178" s="1" t="s">
        <v>48</v>
      </c>
      <c r="I178" s="1" t="s">
        <v>421</v>
      </c>
      <c r="J178" s="1">
        <v>20.0</v>
      </c>
      <c r="K178" s="1">
        <v>80.0</v>
      </c>
      <c r="L178" s="1">
        <v>1985.0</v>
      </c>
      <c r="M178" s="1"/>
      <c r="N178" s="1"/>
      <c r="O178" s="1">
        <v>2018.0</v>
      </c>
      <c r="P178" s="1" t="s">
        <v>105</v>
      </c>
      <c r="Q178" s="4" t="s">
        <v>51</v>
      </c>
      <c r="R178" s="1" t="s">
        <v>136</v>
      </c>
      <c r="S178" s="1" t="s">
        <v>244</v>
      </c>
      <c r="T178" s="1" t="s">
        <v>583</v>
      </c>
      <c r="U178" s="1">
        <v>1945.0</v>
      </c>
      <c r="V178" s="1"/>
      <c r="W178" s="1"/>
      <c r="X178" s="4" t="s">
        <v>55</v>
      </c>
      <c r="Y178" s="4" t="s">
        <v>99</v>
      </c>
      <c r="Z178" s="1" t="s">
        <v>188</v>
      </c>
      <c r="AA178" s="1" t="s">
        <v>188</v>
      </c>
      <c r="AB178" s="1" t="s">
        <v>188</v>
      </c>
      <c r="AC178" s="1" t="s">
        <v>1781</v>
      </c>
      <c r="AD178" s="1" t="s">
        <v>244</v>
      </c>
      <c r="AE178" s="1" t="s">
        <v>60</v>
      </c>
      <c r="AF178" s="1" t="s">
        <v>1687</v>
      </c>
      <c r="AG178" s="4" t="s">
        <v>62</v>
      </c>
      <c r="AH178" s="1">
        <v>8.0</v>
      </c>
      <c r="AI178" s="1">
        <v>9.0</v>
      </c>
      <c r="AJ178" s="1">
        <v>8.0</v>
      </c>
      <c r="AK178" s="1">
        <f t="shared" si="1"/>
        <v>25</v>
      </c>
      <c r="AL178" s="1">
        <v>1.0</v>
      </c>
      <c r="AM178" s="1">
        <v>320.0</v>
      </c>
      <c r="AN178" s="1">
        <f t="shared" si="2"/>
        <v>320</v>
      </c>
      <c r="AO178" s="1">
        <f t="shared" si="4"/>
        <v>1.253125</v>
      </c>
      <c r="AP178" s="4" t="s">
        <v>1518</v>
      </c>
    </row>
    <row r="179" ht="12.75" customHeight="1">
      <c r="A179" s="1" t="s">
        <v>816</v>
      </c>
      <c r="B179" s="1" t="s">
        <v>817</v>
      </c>
      <c r="C179" s="4" t="s">
        <v>44</v>
      </c>
      <c r="D179" s="1" t="s">
        <v>45</v>
      </c>
      <c r="E179" s="4" t="s">
        <v>124</v>
      </c>
      <c r="F179" s="1" t="s">
        <v>126</v>
      </c>
      <c r="G179" s="1"/>
      <c r="H179" s="1" t="s">
        <v>65</v>
      </c>
      <c r="I179" s="1" t="s">
        <v>1222</v>
      </c>
      <c r="J179" s="1">
        <v>20.0</v>
      </c>
      <c r="K179" s="1">
        <v>90.0</v>
      </c>
      <c r="L179" s="1">
        <v>1996.0</v>
      </c>
      <c r="M179" s="1"/>
      <c r="N179" s="1"/>
      <c r="O179" s="1">
        <v>2018.0</v>
      </c>
      <c r="P179" s="1" t="s">
        <v>214</v>
      </c>
      <c r="Q179" s="4" t="s">
        <v>51</v>
      </c>
      <c r="R179" s="1" t="s">
        <v>52</v>
      </c>
      <c r="S179" s="1" t="s">
        <v>106</v>
      </c>
      <c r="T179" s="4" t="s">
        <v>106</v>
      </c>
      <c r="U179" s="1">
        <v>1996.0</v>
      </c>
      <c r="V179" s="1"/>
      <c r="W179" s="1"/>
      <c r="X179" s="4" t="s">
        <v>55</v>
      </c>
      <c r="Y179" s="4" t="s">
        <v>45</v>
      </c>
      <c r="Z179" s="1" t="s">
        <v>126</v>
      </c>
      <c r="AA179" s="4" t="s">
        <v>1782</v>
      </c>
      <c r="AB179" s="4" t="s">
        <v>1783</v>
      </c>
      <c r="AC179" s="1" t="s">
        <v>69</v>
      </c>
      <c r="AD179" s="1" t="s">
        <v>1784</v>
      </c>
      <c r="AE179" s="1" t="s">
        <v>60</v>
      </c>
      <c r="AF179" s="1" t="s">
        <v>60</v>
      </c>
      <c r="AG179" s="4" t="s">
        <v>62</v>
      </c>
      <c r="AH179" s="1">
        <v>7.0</v>
      </c>
      <c r="AI179" s="1">
        <v>8.0</v>
      </c>
      <c r="AJ179" s="1">
        <v>7.0</v>
      </c>
      <c r="AK179" s="1">
        <f t="shared" si="1"/>
        <v>22</v>
      </c>
      <c r="AL179" s="1">
        <v>1.0</v>
      </c>
      <c r="AM179" s="1">
        <v>272.0</v>
      </c>
      <c r="AN179" s="1">
        <f t="shared" si="2"/>
        <v>272</v>
      </c>
      <c r="AO179" s="1">
        <f t="shared" si="4"/>
        <v>1.103676471</v>
      </c>
      <c r="AP179" s="4" t="s">
        <v>818</v>
      </c>
    </row>
    <row r="180" ht="12.75" customHeight="1">
      <c r="A180" s="1" t="s">
        <v>1390</v>
      </c>
      <c r="B180" s="1" t="s">
        <v>1391</v>
      </c>
      <c r="C180" s="4" t="s">
        <v>44</v>
      </c>
      <c r="D180" s="1" t="s">
        <v>45</v>
      </c>
      <c r="E180" s="4" t="s">
        <v>124</v>
      </c>
      <c r="F180" s="1" t="s">
        <v>126</v>
      </c>
      <c r="G180" s="1"/>
      <c r="H180" s="1" t="s">
        <v>65</v>
      </c>
      <c r="I180" s="1" t="s">
        <v>1679</v>
      </c>
      <c r="J180" s="1">
        <v>21.0</v>
      </c>
      <c r="K180" s="1">
        <v>0.0</v>
      </c>
      <c r="L180" s="1">
        <v>2007.0</v>
      </c>
      <c r="M180" s="1"/>
      <c r="N180" s="1"/>
      <c r="O180" s="1">
        <v>2018.0</v>
      </c>
      <c r="P180" s="1" t="s">
        <v>214</v>
      </c>
      <c r="Q180" s="4" t="s">
        <v>51</v>
      </c>
      <c r="R180" s="1" t="s">
        <v>52</v>
      </c>
      <c r="S180" s="1" t="s">
        <v>30</v>
      </c>
      <c r="T180" s="1" t="s">
        <v>60</v>
      </c>
      <c r="U180" s="1">
        <v>2007.0</v>
      </c>
      <c r="V180" s="1"/>
      <c r="W180" s="1"/>
      <c r="X180" s="4" t="s">
        <v>30</v>
      </c>
      <c r="Y180" s="4" t="s">
        <v>30</v>
      </c>
      <c r="Z180" s="4" t="s">
        <v>1785</v>
      </c>
      <c r="AA180" s="4" t="s">
        <v>1785</v>
      </c>
      <c r="AB180" s="1" t="s">
        <v>1225</v>
      </c>
      <c r="AC180" s="1" t="s">
        <v>261</v>
      </c>
      <c r="AD180" s="1" t="s">
        <v>174</v>
      </c>
      <c r="AE180" s="1" t="s">
        <v>112</v>
      </c>
      <c r="AF180" s="1" t="s">
        <v>1786</v>
      </c>
      <c r="AG180" s="4" t="s">
        <v>62</v>
      </c>
      <c r="AH180" s="1">
        <v>7.0</v>
      </c>
      <c r="AI180" s="1">
        <v>8.0</v>
      </c>
      <c r="AJ180" s="1">
        <v>6.0</v>
      </c>
      <c r="AK180" s="1">
        <f t="shared" si="1"/>
        <v>21</v>
      </c>
      <c r="AL180" s="1">
        <v>1.0</v>
      </c>
      <c r="AM180" s="1">
        <v>656.0</v>
      </c>
      <c r="AN180" s="1">
        <f t="shared" si="2"/>
        <v>656</v>
      </c>
      <c r="AO180" s="1">
        <f t="shared" si="4"/>
        <v>1.05152439</v>
      </c>
      <c r="AP180" s="4" t="s">
        <v>1392</v>
      </c>
    </row>
    <row r="181" ht="12.75" customHeight="1">
      <c r="A181" s="1" t="s">
        <v>1395</v>
      </c>
      <c r="B181" s="1" t="s">
        <v>1396</v>
      </c>
      <c r="C181" s="4" t="s">
        <v>44</v>
      </c>
      <c r="D181" s="1" t="s">
        <v>45</v>
      </c>
      <c r="E181" s="4" t="s">
        <v>124</v>
      </c>
      <c r="F181" s="1" t="s">
        <v>126</v>
      </c>
      <c r="G181" s="1"/>
      <c r="H181" s="1" t="s">
        <v>48</v>
      </c>
      <c r="I181" s="1" t="s">
        <v>1787</v>
      </c>
      <c r="J181" s="1">
        <v>21.0</v>
      </c>
      <c r="K181" s="1">
        <v>10.0</v>
      </c>
      <c r="L181" s="1">
        <v>2010.0</v>
      </c>
      <c r="M181" s="1"/>
      <c r="N181" s="1"/>
      <c r="O181" s="1">
        <v>2018.0</v>
      </c>
      <c r="P181" s="1" t="s">
        <v>105</v>
      </c>
      <c r="Q181" s="4" t="s">
        <v>51</v>
      </c>
      <c r="R181" s="1" t="s">
        <v>136</v>
      </c>
      <c r="S181" s="1" t="s">
        <v>138</v>
      </c>
      <c r="T181" s="4" t="s">
        <v>526</v>
      </c>
      <c r="U181" s="1">
        <v>1970.0</v>
      </c>
      <c r="V181" s="1"/>
      <c r="W181" s="1"/>
      <c r="X181" s="4" t="s">
        <v>55</v>
      </c>
      <c r="Y181" s="4" t="s">
        <v>45</v>
      </c>
      <c r="Z181" s="1" t="s">
        <v>126</v>
      </c>
      <c r="AA181" s="1" t="s">
        <v>739</v>
      </c>
      <c r="AB181" s="4" t="s">
        <v>1788</v>
      </c>
      <c r="AC181" s="1" t="s">
        <v>69</v>
      </c>
      <c r="AD181" s="1" t="s">
        <v>498</v>
      </c>
      <c r="AE181" s="1" t="s">
        <v>60</v>
      </c>
      <c r="AF181" s="1" t="s">
        <v>1687</v>
      </c>
      <c r="AG181" s="4" t="s">
        <v>62</v>
      </c>
      <c r="AH181" s="1">
        <v>6.0</v>
      </c>
      <c r="AI181" s="1">
        <v>7.0</v>
      </c>
      <c r="AJ181" s="1">
        <v>7.0</v>
      </c>
      <c r="AK181" s="1">
        <f t="shared" si="1"/>
        <v>20</v>
      </c>
      <c r="AL181" s="1">
        <v>1.0</v>
      </c>
      <c r="AM181" s="1">
        <v>304.0</v>
      </c>
      <c r="AN181" s="1">
        <f t="shared" si="2"/>
        <v>304</v>
      </c>
      <c r="AO181" s="1">
        <f t="shared" si="4"/>
        <v>1.003289474</v>
      </c>
      <c r="AP181" s="4" t="s">
        <v>1397</v>
      </c>
    </row>
    <row r="182" ht="12.75" customHeight="1">
      <c r="A182" s="1" t="s">
        <v>824</v>
      </c>
      <c r="B182" s="1" t="s">
        <v>825</v>
      </c>
      <c r="C182" s="4" t="s">
        <v>44</v>
      </c>
      <c r="D182" s="1" t="s">
        <v>45</v>
      </c>
      <c r="E182" s="4" t="s">
        <v>124</v>
      </c>
      <c r="F182" s="1" t="s">
        <v>126</v>
      </c>
      <c r="G182" s="1"/>
      <c r="H182" s="1" t="s">
        <v>65</v>
      </c>
      <c r="I182" s="1" t="s">
        <v>1789</v>
      </c>
      <c r="J182" s="1">
        <v>21.0</v>
      </c>
      <c r="K182" s="1">
        <v>10.0</v>
      </c>
      <c r="L182" s="1">
        <v>2016.0</v>
      </c>
      <c r="M182" s="1"/>
      <c r="N182" s="1"/>
      <c r="O182" s="1">
        <v>2018.0</v>
      </c>
      <c r="P182" s="1" t="s">
        <v>105</v>
      </c>
      <c r="Q182" s="4" t="s">
        <v>51</v>
      </c>
      <c r="R182" s="1" t="s">
        <v>52</v>
      </c>
      <c r="S182" s="1" t="s">
        <v>270</v>
      </c>
      <c r="T182" s="4" t="s">
        <v>508</v>
      </c>
      <c r="U182" s="1">
        <v>1850.0</v>
      </c>
      <c r="V182" s="1"/>
      <c r="W182" s="1"/>
      <c r="X182" s="4" t="s">
        <v>55</v>
      </c>
      <c r="Y182" s="4" t="s">
        <v>45</v>
      </c>
      <c r="Z182" s="1" t="s">
        <v>126</v>
      </c>
      <c r="AA182" s="4" t="s">
        <v>1790</v>
      </c>
      <c r="AB182" s="4" t="s">
        <v>1790</v>
      </c>
      <c r="AC182" s="1" t="s">
        <v>465</v>
      </c>
      <c r="AD182" s="1" t="s">
        <v>1791</v>
      </c>
      <c r="AE182" s="1" t="s">
        <v>1792</v>
      </c>
      <c r="AF182" s="1" t="s">
        <v>1687</v>
      </c>
      <c r="AG182" s="4" t="s">
        <v>62</v>
      </c>
      <c r="AH182" s="1">
        <v>8.0</v>
      </c>
      <c r="AI182" s="1">
        <v>7.0</v>
      </c>
      <c r="AJ182" s="1">
        <v>6.0</v>
      </c>
      <c r="AK182" s="1">
        <f t="shared" si="1"/>
        <v>21</v>
      </c>
      <c r="AL182" s="1">
        <v>1.0</v>
      </c>
      <c r="AM182" s="1">
        <v>320.0</v>
      </c>
      <c r="AN182" s="1">
        <f t="shared" si="2"/>
        <v>320</v>
      </c>
      <c r="AO182" s="1">
        <f t="shared" si="4"/>
        <v>1.053125</v>
      </c>
      <c r="AP182" s="4" t="s">
        <v>826</v>
      </c>
    </row>
    <row r="183" ht="12.75" customHeight="1">
      <c r="A183" s="1" t="s">
        <v>816</v>
      </c>
      <c r="B183" s="1" t="s">
        <v>819</v>
      </c>
      <c r="C183" s="4" t="s">
        <v>44</v>
      </c>
      <c r="D183" s="1" t="s">
        <v>45</v>
      </c>
      <c r="E183" s="4" t="s">
        <v>124</v>
      </c>
      <c r="F183" s="1" t="s">
        <v>126</v>
      </c>
      <c r="G183" s="1"/>
      <c r="H183" s="1" t="s">
        <v>65</v>
      </c>
      <c r="I183" s="1" t="s">
        <v>1222</v>
      </c>
      <c r="J183" s="1">
        <v>21.0</v>
      </c>
      <c r="K183" s="1">
        <v>10.0</v>
      </c>
      <c r="L183" s="1">
        <v>2016.0</v>
      </c>
      <c r="M183" s="1"/>
      <c r="N183" s="1"/>
      <c r="O183" s="1">
        <v>2018.0</v>
      </c>
      <c r="P183" s="1" t="s">
        <v>214</v>
      </c>
      <c r="Q183" s="4" t="s">
        <v>132</v>
      </c>
      <c r="R183" s="8" t="s">
        <v>132</v>
      </c>
      <c r="S183" s="1" t="s">
        <v>106</v>
      </c>
      <c r="T183" s="4" t="s">
        <v>106</v>
      </c>
      <c r="U183" s="1">
        <v>2016.0</v>
      </c>
      <c r="V183" s="1"/>
      <c r="W183" s="1"/>
      <c r="X183" s="4" t="s">
        <v>55</v>
      </c>
      <c r="Y183" s="4" t="s">
        <v>45</v>
      </c>
      <c r="Z183" s="1" t="s">
        <v>126</v>
      </c>
      <c r="AA183" s="4" t="s">
        <v>1782</v>
      </c>
      <c r="AB183" s="4" t="s">
        <v>1783</v>
      </c>
      <c r="AC183" s="1" t="s">
        <v>69</v>
      </c>
      <c r="AD183" s="1" t="s">
        <v>1784</v>
      </c>
      <c r="AE183" s="1" t="s">
        <v>60</v>
      </c>
      <c r="AF183" s="1" t="s">
        <v>60</v>
      </c>
      <c r="AG183" s="4" t="s">
        <v>62</v>
      </c>
      <c r="AH183" s="1">
        <v>4.0</v>
      </c>
      <c r="AI183" s="1">
        <v>5.0</v>
      </c>
      <c r="AJ183" s="1">
        <v>5.0</v>
      </c>
      <c r="AK183" s="1">
        <f t="shared" si="1"/>
        <v>14</v>
      </c>
      <c r="AL183" s="1">
        <v>1.0</v>
      </c>
      <c r="AM183" s="1">
        <v>280.0</v>
      </c>
      <c r="AN183" s="1">
        <f t="shared" si="2"/>
        <v>280</v>
      </c>
      <c r="AO183" s="1">
        <f t="shared" si="4"/>
        <v>0.7035714286</v>
      </c>
      <c r="AP183" s="4" t="s">
        <v>820</v>
      </c>
    </row>
    <row r="184" ht="12.75" customHeight="1">
      <c r="A184" s="1" t="s">
        <v>730</v>
      </c>
      <c r="B184" s="1" t="s">
        <v>731</v>
      </c>
      <c r="C184" s="4" t="s">
        <v>44</v>
      </c>
      <c r="D184" s="1" t="s">
        <v>148</v>
      </c>
      <c r="E184" s="1" t="s">
        <v>160</v>
      </c>
      <c r="F184" s="1" t="s">
        <v>162</v>
      </c>
      <c r="G184" s="4" t="s">
        <v>1793</v>
      </c>
      <c r="H184" s="1" t="s">
        <v>65</v>
      </c>
      <c r="I184" s="1" t="s">
        <v>1684</v>
      </c>
      <c r="J184" s="1">
        <v>21.0</v>
      </c>
      <c r="K184" s="4">
        <v>0.0</v>
      </c>
      <c r="L184" s="4">
        <v>2000.0</v>
      </c>
      <c r="M184" s="1"/>
      <c r="N184" s="1"/>
      <c r="O184" s="1">
        <v>2018.0</v>
      </c>
      <c r="P184" s="1" t="s">
        <v>105</v>
      </c>
      <c r="Q184" s="4" t="s">
        <v>51</v>
      </c>
      <c r="R184" s="1" t="s">
        <v>52</v>
      </c>
      <c r="S184" s="1" t="s">
        <v>30</v>
      </c>
      <c r="T184" s="4" t="s">
        <v>1794</v>
      </c>
      <c r="U184" s="4">
        <v>1845.0</v>
      </c>
      <c r="V184" s="1"/>
      <c r="W184" s="1"/>
      <c r="X184" s="4" t="s">
        <v>55</v>
      </c>
      <c r="Y184" s="4" t="s">
        <v>148</v>
      </c>
      <c r="Z184" s="4" t="s">
        <v>1795</v>
      </c>
      <c r="AA184" s="4" t="s">
        <v>1796</v>
      </c>
      <c r="AB184" s="4" t="s">
        <v>1796</v>
      </c>
      <c r="AC184" s="1" t="s">
        <v>465</v>
      </c>
      <c r="AD184" s="1" t="s">
        <v>1797</v>
      </c>
      <c r="AE184" s="1" t="s">
        <v>60</v>
      </c>
      <c r="AF184" s="1" t="s">
        <v>1687</v>
      </c>
      <c r="AG184" s="4" t="s">
        <v>62</v>
      </c>
      <c r="AH184" s="1">
        <v>7.0</v>
      </c>
      <c r="AI184" s="1">
        <v>8.0</v>
      </c>
      <c r="AJ184" s="1">
        <v>7.0</v>
      </c>
      <c r="AK184" s="1">
        <f t="shared" si="1"/>
        <v>22</v>
      </c>
      <c r="AL184" s="1">
        <v>1.0</v>
      </c>
      <c r="AM184" s="1">
        <v>336.0</v>
      </c>
      <c r="AN184" s="1">
        <f t="shared" si="2"/>
        <v>336</v>
      </c>
      <c r="AO184" s="1">
        <f t="shared" si="4"/>
        <v>1.10297619</v>
      </c>
      <c r="AP184" s="4" t="s">
        <v>732</v>
      </c>
    </row>
    <row r="185" ht="12.75" customHeight="1">
      <c r="A185" s="1" t="s">
        <v>724</v>
      </c>
      <c r="B185" s="1" t="s">
        <v>725</v>
      </c>
      <c r="C185" s="4" t="s">
        <v>44</v>
      </c>
      <c r="D185" s="1" t="s">
        <v>94</v>
      </c>
      <c r="E185" s="1" t="s">
        <v>95</v>
      </c>
      <c r="F185" s="1" t="s">
        <v>116</v>
      </c>
      <c r="G185" s="4" t="s">
        <v>1798</v>
      </c>
      <c r="H185" s="1" t="s">
        <v>48</v>
      </c>
      <c r="I185" s="1" t="s">
        <v>1789</v>
      </c>
      <c r="J185" s="1">
        <v>21.0</v>
      </c>
      <c r="K185" s="1">
        <v>10.0</v>
      </c>
      <c r="L185" s="1">
        <v>2017.0</v>
      </c>
      <c r="M185" s="1"/>
      <c r="N185" s="1"/>
      <c r="O185" s="1">
        <v>2018.0</v>
      </c>
      <c r="P185" s="1" t="s">
        <v>105</v>
      </c>
      <c r="Q185" s="4" t="s">
        <v>51</v>
      </c>
      <c r="R185" s="1" t="s">
        <v>52</v>
      </c>
      <c r="S185" s="1" t="s">
        <v>271</v>
      </c>
      <c r="T185" s="4" t="s">
        <v>106</v>
      </c>
      <c r="U185" s="1">
        <v>1985.0</v>
      </c>
      <c r="V185" s="1"/>
      <c r="W185" s="1"/>
      <c r="X185" s="4" t="s">
        <v>55</v>
      </c>
      <c r="Y185" s="4" t="s">
        <v>94</v>
      </c>
      <c r="Z185" s="1" t="s">
        <v>116</v>
      </c>
      <c r="AA185" s="1" t="s">
        <v>1751</v>
      </c>
      <c r="AB185" s="1" t="s">
        <v>1751</v>
      </c>
      <c r="AC185" s="1" t="s">
        <v>58</v>
      </c>
      <c r="AD185" s="1" t="s">
        <v>1726</v>
      </c>
      <c r="AE185" s="1" t="s">
        <v>60</v>
      </c>
      <c r="AF185" s="1" t="s">
        <v>1687</v>
      </c>
      <c r="AG185" s="4" t="s">
        <v>62</v>
      </c>
      <c r="AH185" s="1">
        <v>7.0</v>
      </c>
      <c r="AI185" s="1">
        <v>7.0</v>
      </c>
      <c r="AJ185" s="1">
        <v>7.0</v>
      </c>
      <c r="AK185" s="1">
        <f t="shared" si="1"/>
        <v>21</v>
      </c>
      <c r="AL185" s="1">
        <v>1.0</v>
      </c>
      <c r="AM185" s="1">
        <v>256.0</v>
      </c>
      <c r="AN185" s="1">
        <f t="shared" si="2"/>
        <v>256</v>
      </c>
      <c r="AO185" s="1">
        <f t="shared" si="4"/>
        <v>1.05390625</v>
      </c>
      <c r="AP185" s="4" t="s">
        <v>726</v>
      </c>
    </row>
    <row r="186" ht="12.75" customHeight="1">
      <c r="A186" s="1" t="s">
        <v>1153</v>
      </c>
      <c r="B186" s="1" t="s">
        <v>1154</v>
      </c>
      <c r="C186" s="4" t="s">
        <v>44</v>
      </c>
      <c r="D186" s="1" t="s">
        <v>45</v>
      </c>
      <c r="E186" s="4" t="s">
        <v>124</v>
      </c>
      <c r="F186" s="1" t="s">
        <v>126</v>
      </c>
      <c r="G186" s="1"/>
      <c r="H186" s="1" t="s">
        <v>48</v>
      </c>
      <c r="I186" s="1" t="s">
        <v>1789</v>
      </c>
      <c r="J186" s="1">
        <v>21.0</v>
      </c>
      <c r="K186" s="1">
        <v>10.0</v>
      </c>
      <c r="L186" s="1">
        <v>2017.0</v>
      </c>
      <c r="M186" s="1"/>
      <c r="N186" s="1"/>
      <c r="O186" s="1">
        <v>2018.0</v>
      </c>
      <c r="P186" s="1" t="s">
        <v>105</v>
      </c>
      <c r="Q186" s="4" t="s">
        <v>51</v>
      </c>
      <c r="R186" s="1" t="s">
        <v>52</v>
      </c>
      <c r="S186" s="1" t="s">
        <v>270</v>
      </c>
      <c r="T186" s="4" t="s">
        <v>106</v>
      </c>
      <c r="U186" s="1">
        <v>2010.0</v>
      </c>
      <c r="V186" s="1"/>
      <c r="W186" s="1"/>
      <c r="X186" s="4" t="s">
        <v>55</v>
      </c>
      <c r="Y186" s="4" t="s">
        <v>45</v>
      </c>
      <c r="Z186" s="1" t="s">
        <v>126</v>
      </c>
      <c r="AA186" s="1" t="s">
        <v>1799</v>
      </c>
      <c r="AB186" s="1" t="s">
        <v>1800</v>
      </c>
      <c r="AC186" s="1" t="s">
        <v>58</v>
      </c>
      <c r="AD186" s="1" t="s">
        <v>1784</v>
      </c>
      <c r="AE186" s="1" t="s">
        <v>60</v>
      </c>
      <c r="AF186" s="1" t="s">
        <v>1687</v>
      </c>
      <c r="AG186" s="4" t="s">
        <v>62</v>
      </c>
      <c r="AH186" s="1">
        <v>7.0</v>
      </c>
      <c r="AI186" s="1">
        <v>7.0</v>
      </c>
      <c r="AJ186" s="1">
        <v>5.0</v>
      </c>
      <c r="AK186" s="1">
        <f t="shared" si="1"/>
        <v>19</v>
      </c>
      <c r="AL186" s="1">
        <v>1.0</v>
      </c>
      <c r="AM186" s="1">
        <v>480.0</v>
      </c>
      <c r="AN186" s="1">
        <f t="shared" si="2"/>
        <v>480</v>
      </c>
      <c r="AO186" s="1">
        <f t="shared" si="4"/>
        <v>0.9520833333</v>
      </c>
      <c r="AP186" s="4" t="s">
        <v>1155</v>
      </c>
    </row>
    <row r="187" ht="12.75" customHeight="1">
      <c r="A187" s="1" t="s">
        <v>1524</v>
      </c>
      <c r="B187" s="1" t="s">
        <v>1525</v>
      </c>
      <c r="C187" s="4" t="s">
        <v>44</v>
      </c>
      <c r="D187" s="1" t="s">
        <v>45</v>
      </c>
      <c r="E187" s="4" t="s">
        <v>124</v>
      </c>
      <c r="F187" s="1" t="s">
        <v>126</v>
      </c>
      <c r="G187" s="1"/>
      <c r="H187" s="1" t="s">
        <v>48</v>
      </c>
      <c r="I187" s="1" t="s">
        <v>1801</v>
      </c>
      <c r="J187" s="1">
        <v>21.0</v>
      </c>
      <c r="K187" s="1">
        <v>10.0</v>
      </c>
      <c r="L187" s="1">
        <v>2018.0</v>
      </c>
      <c r="M187" s="1"/>
      <c r="N187" s="1"/>
      <c r="O187" s="1">
        <v>2018.0</v>
      </c>
      <c r="P187" s="1" t="s">
        <v>105</v>
      </c>
      <c r="Q187" s="4" t="s">
        <v>51</v>
      </c>
      <c r="R187" s="1" t="s">
        <v>52</v>
      </c>
      <c r="S187" s="1" t="s">
        <v>270</v>
      </c>
      <c r="T187" s="4" t="s">
        <v>106</v>
      </c>
      <c r="U187" s="1">
        <v>2018.0</v>
      </c>
      <c r="V187" s="1"/>
      <c r="W187" s="1"/>
      <c r="X187" s="4" t="s">
        <v>55</v>
      </c>
      <c r="Y187" s="4" t="s">
        <v>45</v>
      </c>
      <c r="Z187" s="1" t="s">
        <v>126</v>
      </c>
      <c r="AA187" s="1" t="s">
        <v>1802</v>
      </c>
      <c r="AB187" s="1" t="s">
        <v>1803</v>
      </c>
      <c r="AC187" s="1" t="s">
        <v>69</v>
      </c>
      <c r="AD187" s="1" t="s">
        <v>1804</v>
      </c>
      <c r="AE187" s="1" t="s">
        <v>60</v>
      </c>
      <c r="AF187" s="1" t="s">
        <v>1687</v>
      </c>
      <c r="AG187" s="4" t="s">
        <v>62</v>
      </c>
      <c r="AH187" s="1">
        <v>6.0</v>
      </c>
      <c r="AI187" s="1">
        <v>5.0</v>
      </c>
      <c r="AJ187" s="1">
        <v>5.0</v>
      </c>
      <c r="AK187" s="1">
        <f t="shared" si="1"/>
        <v>16</v>
      </c>
      <c r="AL187" s="1">
        <v>1.0</v>
      </c>
      <c r="AM187" s="1">
        <v>288.0</v>
      </c>
      <c r="AN187" s="1">
        <f t="shared" si="2"/>
        <v>288</v>
      </c>
      <c r="AO187" s="1">
        <f t="shared" si="4"/>
        <v>0.8034722222</v>
      </c>
      <c r="AP187" s="1"/>
    </row>
    <row r="188" ht="12.75" customHeight="1">
      <c r="A188" s="1" t="s">
        <v>1395</v>
      </c>
      <c r="B188" s="1" t="s">
        <v>1398</v>
      </c>
      <c r="C188" s="4" t="s">
        <v>44</v>
      </c>
      <c r="D188" s="1" t="s">
        <v>45</v>
      </c>
      <c r="E188" s="4" t="s">
        <v>124</v>
      </c>
      <c r="F188" s="1" t="s">
        <v>126</v>
      </c>
      <c r="G188" s="1"/>
      <c r="H188" s="1" t="s">
        <v>48</v>
      </c>
      <c r="I188" s="1" t="s">
        <v>421</v>
      </c>
      <c r="J188" s="1">
        <v>21.0</v>
      </c>
      <c r="K188" s="1">
        <v>10.0</v>
      </c>
      <c r="L188" s="1">
        <v>2018.0</v>
      </c>
      <c r="M188" s="1"/>
      <c r="N188" s="1"/>
      <c r="O188" s="1">
        <v>2018.0</v>
      </c>
      <c r="P188" s="1" t="s">
        <v>105</v>
      </c>
      <c r="Q188" s="4" t="s">
        <v>51</v>
      </c>
      <c r="R188" s="1" t="s">
        <v>136</v>
      </c>
      <c r="S188" s="1" t="s">
        <v>251</v>
      </c>
      <c r="T188" s="4" t="s">
        <v>106</v>
      </c>
      <c r="U188" s="1">
        <v>2018.0</v>
      </c>
      <c r="V188" s="1"/>
      <c r="W188" s="1"/>
      <c r="X188" s="4" t="s">
        <v>55</v>
      </c>
      <c r="Y188" s="4" t="s">
        <v>45</v>
      </c>
      <c r="Z188" s="1" t="s">
        <v>126</v>
      </c>
      <c r="AA188" s="1" t="s">
        <v>739</v>
      </c>
      <c r="AB188" s="1" t="s">
        <v>739</v>
      </c>
      <c r="AC188" s="1" t="s">
        <v>69</v>
      </c>
      <c r="AD188" s="1" t="s">
        <v>498</v>
      </c>
      <c r="AE188" s="1" t="s">
        <v>60</v>
      </c>
      <c r="AF188" s="1" t="s">
        <v>1687</v>
      </c>
      <c r="AG188" s="4" t="s">
        <v>62</v>
      </c>
      <c r="AH188" s="1">
        <v>5.0</v>
      </c>
      <c r="AI188" s="1">
        <v>5.0</v>
      </c>
      <c r="AJ188" s="1">
        <v>5.0</v>
      </c>
      <c r="AK188" s="1">
        <f t="shared" si="1"/>
        <v>15</v>
      </c>
      <c r="AL188" s="1">
        <v>1.0</v>
      </c>
      <c r="AM188" s="1">
        <v>126.0</v>
      </c>
      <c r="AN188" s="1">
        <f t="shared" si="2"/>
        <v>126</v>
      </c>
      <c r="AO188" s="1">
        <f t="shared" si="4"/>
        <v>0.7579365079</v>
      </c>
      <c r="AP188" s="4" t="s">
        <v>1399</v>
      </c>
    </row>
    <row r="189" ht="12.75" customHeight="1">
      <c r="A189" s="1" t="s">
        <v>827</v>
      </c>
      <c r="B189" s="1" t="s">
        <v>828</v>
      </c>
      <c r="C189" s="4" t="s">
        <v>44</v>
      </c>
      <c r="D189" s="1" t="s">
        <v>45</v>
      </c>
      <c r="E189" s="4" t="s">
        <v>124</v>
      </c>
      <c r="F189" s="1" t="s">
        <v>126</v>
      </c>
      <c r="G189" s="1"/>
      <c r="H189" s="1" t="s">
        <v>48</v>
      </c>
      <c r="I189" s="1" t="s">
        <v>1019</v>
      </c>
      <c r="J189" s="1">
        <v>21.0</v>
      </c>
      <c r="K189" s="1">
        <v>10.0</v>
      </c>
      <c r="L189" s="1">
        <v>2018.0</v>
      </c>
      <c r="M189" s="1"/>
      <c r="N189" s="1"/>
      <c r="O189" s="1">
        <v>2018.0</v>
      </c>
      <c r="P189" s="1" t="s">
        <v>105</v>
      </c>
      <c r="Q189" s="4" t="s">
        <v>51</v>
      </c>
      <c r="R189" s="1" t="s">
        <v>52</v>
      </c>
      <c r="S189" s="1" t="s">
        <v>106</v>
      </c>
      <c r="T189" s="4" t="s">
        <v>1805</v>
      </c>
      <c r="U189" s="1">
        <v>1965.0</v>
      </c>
      <c r="V189" s="1"/>
      <c r="W189" s="1"/>
      <c r="X189" s="4" t="s">
        <v>55</v>
      </c>
      <c r="Y189" s="4" t="s">
        <v>45</v>
      </c>
      <c r="Z189" s="1" t="s">
        <v>126</v>
      </c>
      <c r="AA189" s="1" t="s">
        <v>1806</v>
      </c>
      <c r="AB189" s="1" t="s">
        <v>1807</v>
      </c>
      <c r="AC189" s="1" t="s">
        <v>69</v>
      </c>
      <c r="AD189" s="1" t="s">
        <v>1804</v>
      </c>
      <c r="AE189" s="1" t="s">
        <v>1808</v>
      </c>
      <c r="AF189" s="1" t="s">
        <v>1687</v>
      </c>
      <c r="AG189" s="4" t="s">
        <v>62</v>
      </c>
      <c r="AH189" s="1">
        <v>7.0</v>
      </c>
      <c r="AI189" s="1">
        <v>6.0</v>
      </c>
      <c r="AJ189" s="1">
        <v>6.0</v>
      </c>
      <c r="AK189" s="1">
        <f t="shared" si="1"/>
        <v>19</v>
      </c>
      <c r="AL189" s="1">
        <v>1.0</v>
      </c>
      <c r="AM189" s="1">
        <v>380.0</v>
      </c>
      <c r="AN189" s="1">
        <f t="shared" si="2"/>
        <v>380</v>
      </c>
      <c r="AO189" s="1">
        <f t="shared" si="4"/>
        <v>0.9526315789</v>
      </c>
      <c r="AP189" s="1"/>
    </row>
    <row r="190" ht="12.75" customHeight="1">
      <c r="A190" s="4" t="s">
        <v>1100</v>
      </c>
      <c r="B190" s="12" t="s">
        <v>1102</v>
      </c>
      <c r="C190" s="4" t="s">
        <v>44</v>
      </c>
      <c r="D190" s="4" t="s">
        <v>45</v>
      </c>
      <c r="E190" s="4" t="s">
        <v>124</v>
      </c>
      <c r="F190" s="4" t="s">
        <v>126</v>
      </c>
      <c r="G190" s="1"/>
      <c r="H190" s="4" t="s">
        <v>65</v>
      </c>
      <c r="I190" s="4" t="s">
        <v>1789</v>
      </c>
      <c r="J190" s="4">
        <v>20.0</v>
      </c>
      <c r="K190" s="4">
        <v>90.0</v>
      </c>
      <c r="L190" s="4">
        <v>1992.0</v>
      </c>
      <c r="M190" s="4">
        <v>6.0</v>
      </c>
      <c r="N190" s="4">
        <v>1.0</v>
      </c>
      <c r="O190" s="4">
        <v>2019.0</v>
      </c>
      <c r="P190" s="4" t="s">
        <v>214</v>
      </c>
      <c r="Q190" s="4" t="s">
        <v>51</v>
      </c>
      <c r="R190" s="4" t="s">
        <v>232</v>
      </c>
      <c r="S190" s="4" t="s">
        <v>232</v>
      </c>
      <c r="T190" s="4" t="s">
        <v>106</v>
      </c>
      <c r="U190" s="4">
        <v>2019.0</v>
      </c>
      <c r="V190" s="1"/>
      <c r="W190" s="1"/>
      <c r="X190" s="4" t="s">
        <v>139</v>
      </c>
      <c r="Y190" s="4" t="s">
        <v>139</v>
      </c>
      <c r="Z190" s="4" t="s">
        <v>139</v>
      </c>
      <c r="AA190" s="4" t="s">
        <v>139</v>
      </c>
      <c r="AB190" s="4" t="s">
        <v>139</v>
      </c>
      <c r="AC190" s="4" t="s">
        <v>69</v>
      </c>
      <c r="AD190" s="11" t="s">
        <v>60</v>
      </c>
      <c r="AE190" s="11" t="s">
        <v>60</v>
      </c>
      <c r="AF190" s="11" t="s">
        <v>60</v>
      </c>
      <c r="AG190" s="4" t="s">
        <v>62</v>
      </c>
      <c r="AH190" s="4">
        <v>7.0</v>
      </c>
      <c r="AI190" s="4">
        <v>6.0</v>
      </c>
      <c r="AJ190" s="4">
        <v>6.0</v>
      </c>
      <c r="AK190" s="1">
        <f t="shared" si="1"/>
        <v>19</v>
      </c>
      <c r="AL190" s="1">
        <v>1.0</v>
      </c>
      <c r="AM190" s="4">
        <v>384.0</v>
      </c>
      <c r="AN190" s="1">
        <f t="shared" si="2"/>
        <v>384</v>
      </c>
      <c r="AO190" s="1">
        <f t="shared" si="4"/>
        <v>0.9526041667</v>
      </c>
      <c r="AP190" s="4" t="s">
        <v>1103</v>
      </c>
    </row>
    <row r="191" ht="12.75" customHeight="1">
      <c r="A191" s="1" t="s">
        <v>1304</v>
      </c>
      <c r="B191" s="1" t="s">
        <v>1305</v>
      </c>
      <c r="C191" s="4" t="s">
        <v>44</v>
      </c>
      <c r="D191" s="1" t="s">
        <v>45</v>
      </c>
      <c r="E191" s="4" t="s">
        <v>124</v>
      </c>
      <c r="F191" s="1" t="s">
        <v>126</v>
      </c>
      <c r="G191" s="4" t="s">
        <v>1809</v>
      </c>
      <c r="H191" s="1" t="s">
        <v>48</v>
      </c>
      <c r="I191" s="1" t="s">
        <v>1810</v>
      </c>
      <c r="J191" s="1">
        <v>20.0</v>
      </c>
      <c r="K191" s="1">
        <v>60.0</v>
      </c>
      <c r="L191" s="1">
        <v>1969.0</v>
      </c>
      <c r="M191" s="4">
        <v>31.0</v>
      </c>
      <c r="N191" s="4">
        <v>3.0</v>
      </c>
      <c r="O191" s="1">
        <v>2019.0</v>
      </c>
      <c r="P191" s="1" t="s">
        <v>105</v>
      </c>
      <c r="Q191" s="4" t="s">
        <v>51</v>
      </c>
      <c r="R191" s="1" t="s">
        <v>52</v>
      </c>
      <c r="S191" s="1" t="s">
        <v>138</v>
      </c>
      <c r="T191" s="4" t="s">
        <v>1811</v>
      </c>
      <c r="U191" s="4">
        <v>1935.0</v>
      </c>
      <c r="V191" s="1"/>
      <c r="W191" s="1"/>
      <c r="X191" s="4" t="s">
        <v>55</v>
      </c>
      <c r="Y191" s="4" t="s">
        <v>45</v>
      </c>
      <c r="Z191" s="1" t="s">
        <v>126</v>
      </c>
      <c r="AA191" s="4" t="s">
        <v>1713</v>
      </c>
      <c r="AB191" s="4" t="s">
        <v>1812</v>
      </c>
      <c r="AC191" s="4" t="s">
        <v>1813</v>
      </c>
      <c r="AD191" s="4" t="s">
        <v>1814</v>
      </c>
      <c r="AE191" s="1" t="s">
        <v>60</v>
      </c>
      <c r="AF191" s="1" t="s">
        <v>1687</v>
      </c>
      <c r="AG191" s="4" t="s">
        <v>62</v>
      </c>
      <c r="AH191" s="1">
        <v>9.0</v>
      </c>
      <c r="AI191" s="1">
        <v>9.0</v>
      </c>
      <c r="AJ191" s="1">
        <v>8.0</v>
      </c>
      <c r="AK191" s="1">
        <f t="shared" si="1"/>
        <v>26</v>
      </c>
      <c r="AL191" s="1">
        <v>1.0</v>
      </c>
      <c r="AM191" s="1">
        <v>336.0</v>
      </c>
      <c r="AN191" s="1">
        <f t="shared" si="2"/>
        <v>336</v>
      </c>
      <c r="AO191" s="1">
        <f t="shared" si="4"/>
        <v>1.30297619</v>
      </c>
      <c r="AP191" s="1"/>
    </row>
    <row r="192" ht="12.75" customHeight="1">
      <c r="A192" s="1" t="s">
        <v>1550</v>
      </c>
      <c r="B192" s="1" t="s">
        <v>1551</v>
      </c>
      <c r="C192" s="4" t="s">
        <v>44</v>
      </c>
      <c r="D192" s="1" t="s">
        <v>99</v>
      </c>
      <c r="E192" s="1" t="s">
        <v>100</v>
      </c>
      <c r="F192" s="1" t="s">
        <v>101</v>
      </c>
      <c r="G192" s="1"/>
      <c r="H192" s="1" t="s">
        <v>65</v>
      </c>
      <c r="I192" s="1" t="s">
        <v>421</v>
      </c>
      <c r="J192" s="1">
        <v>19.0</v>
      </c>
      <c r="K192" s="1">
        <v>90.0</v>
      </c>
      <c r="L192" s="1">
        <v>1894.0</v>
      </c>
      <c r="M192" s="1"/>
      <c r="N192" s="1"/>
      <c r="O192" s="1">
        <v>2019.0</v>
      </c>
      <c r="P192" s="1" t="s">
        <v>105</v>
      </c>
      <c r="Q192" s="4" t="s">
        <v>51</v>
      </c>
      <c r="R192" s="1" t="s">
        <v>52</v>
      </c>
      <c r="S192" s="1" t="s">
        <v>272</v>
      </c>
      <c r="T192" s="1" t="s">
        <v>1640</v>
      </c>
      <c r="U192" s="1">
        <v>1894.0</v>
      </c>
      <c r="V192" s="1"/>
      <c r="W192" s="1"/>
      <c r="X192" s="4" t="s">
        <v>55</v>
      </c>
      <c r="Y192" s="4" t="s">
        <v>99</v>
      </c>
      <c r="Z192" s="4" t="s">
        <v>101</v>
      </c>
      <c r="AA192" s="1" t="s">
        <v>1702</v>
      </c>
      <c r="AB192" s="1" t="s">
        <v>1815</v>
      </c>
      <c r="AC192" s="1" t="s">
        <v>92</v>
      </c>
      <c r="AD192" s="1" t="s">
        <v>1</v>
      </c>
      <c r="AE192" s="1" t="s">
        <v>386</v>
      </c>
      <c r="AF192" s="1" t="s">
        <v>1687</v>
      </c>
      <c r="AG192" s="4" t="s">
        <v>62</v>
      </c>
      <c r="AH192" s="1">
        <v>8.0</v>
      </c>
      <c r="AI192" s="1">
        <v>7.0</v>
      </c>
      <c r="AJ192" s="1">
        <v>9.0</v>
      </c>
      <c r="AK192" s="1">
        <f t="shared" si="1"/>
        <v>24</v>
      </c>
      <c r="AL192" s="1">
        <v>1.0</v>
      </c>
      <c r="AM192" s="1">
        <v>400.0</v>
      </c>
      <c r="AN192" s="1">
        <f t="shared" si="2"/>
        <v>400</v>
      </c>
      <c r="AO192" s="1">
        <f t="shared" si="4"/>
        <v>1.2025</v>
      </c>
      <c r="AP192" s="4" t="s">
        <v>1552</v>
      </c>
    </row>
    <row r="193" ht="12.75" customHeight="1">
      <c r="A193" s="1" t="s">
        <v>796</v>
      </c>
      <c r="B193" s="1" t="s">
        <v>797</v>
      </c>
      <c r="C193" s="4" t="s">
        <v>44</v>
      </c>
      <c r="D193" s="1" t="s">
        <v>45</v>
      </c>
      <c r="E193" s="4" t="s">
        <v>124</v>
      </c>
      <c r="F193" s="1" t="s">
        <v>126</v>
      </c>
      <c r="G193" s="1"/>
      <c r="H193" s="1" t="s">
        <v>48</v>
      </c>
      <c r="I193" s="1" t="s">
        <v>421</v>
      </c>
      <c r="J193" s="1">
        <v>20.0</v>
      </c>
      <c r="K193" s="1">
        <v>40.0</v>
      </c>
      <c r="L193" s="1">
        <v>1940.0</v>
      </c>
      <c r="M193" s="1"/>
      <c r="N193" s="1"/>
      <c r="O193" s="1">
        <v>2019.0</v>
      </c>
      <c r="P193" s="1" t="s">
        <v>105</v>
      </c>
      <c r="Q193" s="4" t="s">
        <v>51</v>
      </c>
      <c r="R193" s="1" t="s">
        <v>52</v>
      </c>
      <c r="S193" s="1" t="s">
        <v>268</v>
      </c>
      <c r="T193" s="4" t="s">
        <v>1811</v>
      </c>
      <c r="U193" s="1">
        <v>1935.0</v>
      </c>
      <c r="V193" s="1"/>
      <c r="W193" s="1"/>
      <c r="X193" s="4" t="s">
        <v>55</v>
      </c>
      <c r="Y193" s="4" t="s">
        <v>45</v>
      </c>
      <c r="Z193" s="1" t="s">
        <v>126</v>
      </c>
      <c r="AA193" s="1" t="s">
        <v>1799</v>
      </c>
      <c r="AB193" s="1" t="s">
        <v>1799</v>
      </c>
      <c r="AC193" s="1" t="s">
        <v>69</v>
      </c>
      <c r="AD193" s="1" t="s">
        <v>1816</v>
      </c>
      <c r="AE193" s="1" t="s">
        <v>60</v>
      </c>
      <c r="AF193" s="1" t="s">
        <v>1687</v>
      </c>
      <c r="AG193" s="4" t="s">
        <v>62</v>
      </c>
      <c r="AH193" s="1">
        <v>7.0</v>
      </c>
      <c r="AI193" s="1">
        <v>8.0</v>
      </c>
      <c r="AJ193" s="1">
        <v>7.0</v>
      </c>
      <c r="AK193" s="1">
        <f t="shared" si="1"/>
        <v>22</v>
      </c>
      <c r="AL193" s="1">
        <v>1.0</v>
      </c>
      <c r="AM193" s="1">
        <v>392.0</v>
      </c>
      <c r="AN193" s="1">
        <f t="shared" si="2"/>
        <v>392</v>
      </c>
      <c r="AO193" s="1">
        <f t="shared" si="4"/>
        <v>1.10255102</v>
      </c>
      <c r="AP193" s="4" t="s">
        <v>798</v>
      </c>
    </row>
    <row r="194" ht="12.75" customHeight="1">
      <c r="A194" s="1" t="s">
        <v>857</v>
      </c>
      <c r="B194" s="1" t="s">
        <v>858</v>
      </c>
      <c r="C194" s="4" t="s">
        <v>44</v>
      </c>
      <c r="D194" s="1" t="s">
        <v>99</v>
      </c>
      <c r="E194" s="1" t="s">
        <v>173</v>
      </c>
      <c r="F194" s="1" t="s">
        <v>178</v>
      </c>
      <c r="G194" s="4" t="s">
        <v>1817</v>
      </c>
      <c r="H194" s="1" t="s">
        <v>65</v>
      </c>
      <c r="I194" s="1" t="s">
        <v>382</v>
      </c>
      <c r="J194" s="1">
        <v>20.0</v>
      </c>
      <c r="K194" s="1">
        <v>40.0</v>
      </c>
      <c r="L194" s="1">
        <v>1940.0</v>
      </c>
      <c r="M194" s="1"/>
      <c r="N194" s="1"/>
      <c r="O194" s="1">
        <v>2019.0</v>
      </c>
      <c r="P194" s="1" t="s">
        <v>105</v>
      </c>
      <c r="Q194" s="4" t="s">
        <v>51</v>
      </c>
      <c r="R194" s="1" t="s">
        <v>52</v>
      </c>
      <c r="S194" s="1" t="s">
        <v>291</v>
      </c>
      <c r="T194" s="4" t="s">
        <v>583</v>
      </c>
      <c r="U194" s="1">
        <v>1940.0</v>
      </c>
      <c r="V194" s="1"/>
      <c r="W194" s="1"/>
      <c r="X194" s="4" t="s">
        <v>30</v>
      </c>
      <c r="Y194" s="4" t="s">
        <v>30</v>
      </c>
      <c r="Z194" s="4" t="s">
        <v>30</v>
      </c>
      <c r="AA194" s="4" t="s">
        <v>30</v>
      </c>
      <c r="AB194" s="4" t="s">
        <v>30</v>
      </c>
      <c r="AC194" s="1" t="s">
        <v>69</v>
      </c>
      <c r="AD194" s="1" t="s">
        <v>244</v>
      </c>
      <c r="AE194" s="1" t="s">
        <v>60</v>
      </c>
      <c r="AF194" s="1" t="s">
        <v>1687</v>
      </c>
      <c r="AG194" s="4" t="s">
        <v>62</v>
      </c>
      <c r="AH194" s="1">
        <v>7.0</v>
      </c>
      <c r="AI194" s="1">
        <v>6.0</v>
      </c>
      <c r="AJ194" s="1">
        <v>7.0</v>
      </c>
      <c r="AK194" s="1">
        <f t="shared" si="1"/>
        <v>20</v>
      </c>
      <c r="AL194" s="1">
        <v>1.0</v>
      </c>
      <c r="AM194" s="1">
        <v>208.0</v>
      </c>
      <c r="AN194" s="1">
        <f t="shared" si="2"/>
        <v>208</v>
      </c>
      <c r="AO194" s="1">
        <f t="shared" si="4"/>
        <v>1.004807692</v>
      </c>
      <c r="AP194" s="4" t="s">
        <v>859</v>
      </c>
    </row>
    <row r="195" ht="12.75" customHeight="1">
      <c r="A195" s="1" t="s">
        <v>810</v>
      </c>
      <c r="B195" s="1" t="s">
        <v>811</v>
      </c>
      <c r="C195" s="4" t="s">
        <v>44</v>
      </c>
      <c r="D195" s="1" t="s">
        <v>94</v>
      </c>
      <c r="E195" s="1" t="s">
        <v>95</v>
      </c>
      <c r="F195" s="1" t="s">
        <v>116</v>
      </c>
      <c r="G195" s="4" t="s">
        <v>1818</v>
      </c>
      <c r="H195" s="1" t="s">
        <v>65</v>
      </c>
      <c r="I195" s="1" t="s">
        <v>421</v>
      </c>
      <c r="J195" s="1">
        <v>20.0</v>
      </c>
      <c r="K195" s="1">
        <v>50.0</v>
      </c>
      <c r="L195" s="1">
        <v>1958.0</v>
      </c>
      <c r="M195" s="1"/>
      <c r="N195" s="1"/>
      <c r="O195" s="1">
        <v>2019.0</v>
      </c>
      <c r="P195" s="1" t="s">
        <v>105</v>
      </c>
      <c r="Q195" s="4" t="s">
        <v>51</v>
      </c>
      <c r="R195" s="1" t="s">
        <v>52</v>
      </c>
      <c r="S195" s="1" t="s">
        <v>271</v>
      </c>
      <c r="T195" s="4" t="s">
        <v>410</v>
      </c>
      <c r="U195" s="4">
        <v>1890.0</v>
      </c>
      <c r="V195" s="1"/>
      <c r="W195" s="1"/>
      <c r="X195" s="4" t="s">
        <v>55</v>
      </c>
      <c r="Y195" s="4" t="s">
        <v>94</v>
      </c>
      <c r="Z195" s="1" t="s">
        <v>116</v>
      </c>
      <c r="AA195" s="1" t="s">
        <v>1819</v>
      </c>
      <c r="AB195" s="4" t="s">
        <v>1820</v>
      </c>
      <c r="AC195" s="4" t="s">
        <v>1781</v>
      </c>
      <c r="AD195" s="1" t="s">
        <v>1821</v>
      </c>
      <c r="AE195" s="1" t="s">
        <v>1822</v>
      </c>
      <c r="AF195" s="1" t="s">
        <v>1687</v>
      </c>
      <c r="AG195" s="4" t="s">
        <v>62</v>
      </c>
      <c r="AH195" s="1">
        <v>9.0</v>
      </c>
      <c r="AI195" s="1">
        <v>8.0</v>
      </c>
      <c r="AJ195" s="1">
        <v>8.0</v>
      </c>
      <c r="AK195" s="1">
        <f t="shared" si="1"/>
        <v>25</v>
      </c>
      <c r="AL195" s="1">
        <v>1.0</v>
      </c>
      <c r="AM195" s="1">
        <v>240.0</v>
      </c>
      <c r="AN195" s="1">
        <f t="shared" si="2"/>
        <v>240</v>
      </c>
      <c r="AO195" s="1">
        <f t="shared" si="4"/>
        <v>1.254166667</v>
      </c>
      <c r="AP195" s="4" t="s">
        <v>812</v>
      </c>
    </row>
    <row r="196" ht="12.75" customHeight="1">
      <c r="A196" s="1" t="s">
        <v>634</v>
      </c>
      <c r="B196" s="4" t="s">
        <v>635</v>
      </c>
      <c r="C196" s="4" t="s">
        <v>44</v>
      </c>
      <c r="D196" s="1" t="s">
        <v>45</v>
      </c>
      <c r="E196" s="1" t="s">
        <v>46</v>
      </c>
      <c r="F196" s="1" t="s">
        <v>127</v>
      </c>
      <c r="G196" s="4" t="s">
        <v>1823</v>
      </c>
      <c r="H196" s="1" t="s">
        <v>65</v>
      </c>
      <c r="I196" s="1" t="s">
        <v>1729</v>
      </c>
      <c r="J196" s="1">
        <v>20.0</v>
      </c>
      <c r="K196" s="4">
        <v>50.0</v>
      </c>
      <c r="L196" s="4">
        <v>1954.0</v>
      </c>
      <c r="M196" s="1"/>
      <c r="N196" s="1"/>
      <c r="O196" s="1">
        <v>2019.0</v>
      </c>
      <c r="P196" s="1" t="s">
        <v>105</v>
      </c>
      <c r="Q196" s="4" t="s">
        <v>51</v>
      </c>
      <c r="R196" s="1" t="s">
        <v>52</v>
      </c>
      <c r="S196" s="1" t="s">
        <v>298</v>
      </c>
      <c r="T196" s="4" t="s">
        <v>1824</v>
      </c>
      <c r="U196" s="4">
        <v>1927.0</v>
      </c>
      <c r="V196" s="1"/>
      <c r="W196" s="1"/>
      <c r="X196" s="4" t="s">
        <v>55</v>
      </c>
      <c r="Y196" s="4" t="s">
        <v>45</v>
      </c>
      <c r="Z196" s="1" t="s">
        <v>127</v>
      </c>
      <c r="AA196" s="1" t="s">
        <v>1825</v>
      </c>
      <c r="AB196" s="1" t="s">
        <v>1825</v>
      </c>
      <c r="AC196" s="1" t="s">
        <v>19</v>
      </c>
      <c r="AD196" s="1" t="s">
        <v>1826</v>
      </c>
      <c r="AE196" s="1" t="s">
        <v>143</v>
      </c>
      <c r="AF196" s="1" t="s">
        <v>1687</v>
      </c>
      <c r="AG196" s="4" t="s">
        <v>62</v>
      </c>
      <c r="AH196" s="1">
        <v>7.0</v>
      </c>
      <c r="AI196" s="1">
        <v>6.0</v>
      </c>
      <c r="AJ196" s="1">
        <v>10.0</v>
      </c>
      <c r="AK196" s="1">
        <f t="shared" si="1"/>
        <v>23</v>
      </c>
      <c r="AL196" s="1">
        <v>1.0</v>
      </c>
      <c r="AM196" s="1">
        <v>208.0</v>
      </c>
      <c r="AN196" s="1">
        <f t="shared" si="2"/>
        <v>208</v>
      </c>
      <c r="AO196" s="1">
        <f t="shared" si="4"/>
        <v>1.154807692</v>
      </c>
      <c r="AP196" s="4" t="s">
        <v>636</v>
      </c>
    </row>
    <row r="197" ht="12.75" customHeight="1">
      <c r="A197" s="1" t="s">
        <v>1535</v>
      </c>
      <c r="B197" s="1" t="s">
        <v>1536</v>
      </c>
      <c r="C197" s="4" t="s">
        <v>44</v>
      </c>
      <c r="D197" s="1" t="s">
        <v>94</v>
      </c>
      <c r="E197" s="1" t="s">
        <v>95</v>
      </c>
      <c r="F197" s="1" t="s">
        <v>120</v>
      </c>
      <c r="G197" s="4" t="s">
        <v>1827</v>
      </c>
      <c r="H197" s="1" t="s">
        <v>65</v>
      </c>
      <c r="I197" s="1" t="s">
        <v>1668</v>
      </c>
      <c r="J197" s="1">
        <v>20.0</v>
      </c>
      <c r="K197" s="1">
        <v>60.0</v>
      </c>
      <c r="L197" s="1">
        <v>1965.0</v>
      </c>
      <c r="M197" s="1"/>
      <c r="N197" s="1"/>
      <c r="O197" s="1">
        <v>2019.0</v>
      </c>
      <c r="P197" s="1" t="s">
        <v>105</v>
      </c>
      <c r="Q197" s="4" t="s">
        <v>51</v>
      </c>
      <c r="R197" s="1" t="s">
        <v>52</v>
      </c>
      <c r="S197" s="1" t="s">
        <v>271</v>
      </c>
      <c r="T197" s="4" t="s">
        <v>1828</v>
      </c>
      <c r="U197" s="1">
        <v>1955.0</v>
      </c>
      <c r="V197" s="1"/>
      <c r="W197" s="1"/>
      <c r="X197" s="4" t="s">
        <v>55</v>
      </c>
      <c r="Y197" s="4" t="s">
        <v>94</v>
      </c>
      <c r="Z197" s="1" t="s">
        <v>120</v>
      </c>
      <c r="AA197" s="1" t="s">
        <v>1829</v>
      </c>
      <c r="AB197" s="1" t="s">
        <v>1829</v>
      </c>
      <c r="AC197" s="1" t="s">
        <v>465</v>
      </c>
      <c r="AD197" s="1" t="s">
        <v>1731</v>
      </c>
      <c r="AE197" s="1" t="s">
        <v>60</v>
      </c>
      <c r="AF197" s="1" t="s">
        <v>1687</v>
      </c>
      <c r="AG197" s="4" t="s">
        <v>62</v>
      </c>
      <c r="AH197" s="1">
        <v>7.0</v>
      </c>
      <c r="AI197" s="1">
        <v>6.0</v>
      </c>
      <c r="AJ197" s="1">
        <v>6.0</v>
      </c>
      <c r="AK197" s="1">
        <f t="shared" si="1"/>
        <v>19</v>
      </c>
      <c r="AL197" s="1">
        <v>1.0</v>
      </c>
      <c r="AM197" s="1">
        <v>176.0</v>
      </c>
      <c r="AN197" s="1">
        <f t="shared" si="2"/>
        <v>176</v>
      </c>
      <c r="AO197" s="1">
        <f t="shared" si="4"/>
        <v>0.9556818182</v>
      </c>
      <c r="AP197" s="1"/>
    </row>
    <row r="198" ht="12.75" customHeight="1">
      <c r="A198" s="1" t="s">
        <v>1568</v>
      </c>
      <c r="B198" s="1" t="s">
        <v>1569</v>
      </c>
      <c r="C198" s="4" t="s">
        <v>44</v>
      </c>
      <c r="D198" s="1" t="s">
        <v>45</v>
      </c>
      <c r="E198" s="4" t="s">
        <v>124</v>
      </c>
      <c r="F198" s="1" t="s">
        <v>126</v>
      </c>
      <c r="G198" s="1"/>
      <c r="H198" s="1" t="s">
        <v>48</v>
      </c>
      <c r="I198" s="1" t="s">
        <v>421</v>
      </c>
      <c r="J198" s="1">
        <v>20.0</v>
      </c>
      <c r="K198" s="1">
        <v>70.0</v>
      </c>
      <c r="L198" s="1">
        <v>1970.0</v>
      </c>
      <c r="M198" s="1"/>
      <c r="N198" s="1"/>
      <c r="O198" s="1">
        <v>2019.0</v>
      </c>
      <c r="P198" s="1" t="s">
        <v>105</v>
      </c>
      <c r="Q198" s="4" t="s">
        <v>51</v>
      </c>
      <c r="R198" s="1" t="s">
        <v>52</v>
      </c>
      <c r="S198" s="1" t="s">
        <v>268</v>
      </c>
      <c r="T198" s="4" t="s">
        <v>583</v>
      </c>
      <c r="U198" s="4">
        <v>1941.0</v>
      </c>
      <c r="V198" s="1"/>
      <c r="W198" s="1"/>
      <c r="X198" s="4" t="s">
        <v>55</v>
      </c>
      <c r="Y198" s="4" t="s">
        <v>45</v>
      </c>
      <c r="Z198" s="1" t="s">
        <v>126</v>
      </c>
      <c r="AA198" s="1" t="s">
        <v>1830</v>
      </c>
      <c r="AB198" s="1" t="s">
        <v>1831</v>
      </c>
      <c r="AC198" s="1" t="s">
        <v>69</v>
      </c>
      <c r="AD198" s="1" t="s">
        <v>1816</v>
      </c>
      <c r="AE198" s="1" t="s">
        <v>60</v>
      </c>
      <c r="AF198" s="1" t="s">
        <v>1687</v>
      </c>
      <c r="AG198" s="4" t="s">
        <v>62</v>
      </c>
      <c r="AH198" s="1">
        <v>8.0</v>
      </c>
      <c r="AI198" s="1">
        <v>7.0</v>
      </c>
      <c r="AJ198" s="1">
        <v>6.0</v>
      </c>
      <c r="AK198" s="1">
        <f t="shared" si="1"/>
        <v>21</v>
      </c>
      <c r="AL198" s="1">
        <v>1.0</v>
      </c>
      <c r="AM198" s="1">
        <v>224.0</v>
      </c>
      <c r="AN198" s="1">
        <f t="shared" si="2"/>
        <v>224</v>
      </c>
      <c r="AO198" s="1">
        <f t="shared" si="4"/>
        <v>1.054464286</v>
      </c>
      <c r="AP198" s="1"/>
    </row>
    <row r="199" ht="12.75" customHeight="1">
      <c r="A199" s="1" t="s">
        <v>1280</v>
      </c>
      <c r="B199" s="1" t="s">
        <v>1283</v>
      </c>
      <c r="C199" s="4" t="s">
        <v>44</v>
      </c>
      <c r="D199" s="1" t="s">
        <v>45</v>
      </c>
      <c r="E199" s="1" t="s">
        <v>46</v>
      </c>
      <c r="F199" s="1" t="s">
        <v>137</v>
      </c>
      <c r="G199" s="4" t="s">
        <v>1832</v>
      </c>
      <c r="H199" s="1" t="s">
        <v>65</v>
      </c>
      <c r="I199" s="1" t="s">
        <v>1741</v>
      </c>
      <c r="J199" s="1">
        <v>20.0</v>
      </c>
      <c r="K199" s="1">
        <v>80.0</v>
      </c>
      <c r="L199" s="1">
        <v>1982.0</v>
      </c>
      <c r="M199" s="1"/>
      <c r="N199" s="1"/>
      <c r="O199" s="1">
        <v>2019.0</v>
      </c>
      <c r="P199" s="1" t="s">
        <v>105</v>
      </c>
      <c r="Q199" s="4" t="s">
        <v>51</v>
      </c>
      <c r="R199" s="1" t="s">
        <v>52</v>
      </c>
      <c r="S199" s="4" t="s">
        <v>301</v>
      </c>
      <c r="T199" s="1" t="s">
        <v>75</v>
      </c>
      <c r="U199" s="4">
        <v>1973.0</v>
      </c>
      <c r="V199" s="4">
        <v>6.0</v>
      </c>
      <c r="W199" s="4">
        <v>27.0</v>
      </c>
      <c r="X199" s="4" t="s">
        <v>55</v>
      </c>
      <c r="Y199" s="4" t="s">
        <v>45</v>
      </c>
      <c r="Z199" s="1" t="s">
        <v>137</v>
      </c>
      <c r="AA199" s="1" t="s">
        <v>137</v>
      </c>
      <c r="AB199" s="1" t="s">
        <v>137</v>
      </c>
      <c r="AC199" s="1" t="s">
        <v>69</v>
      </c>
      <c r="AD199" s="1" t="s">
        <v>1740</v>
      </c>
      <c r="AE199" s="1" t="s">
        <v>60</v>
      </c>
      <c r="AF199" s="1" t="s">
        <v>1687</v>
      </c>
      <c r="AG199" s="4" t="s">
        <v>62</v>
      </c>
      <c r="AH199" s="1">
        <v>6.0</v>
      </c>
      <c r="AI199" s="1">
        <v>7.0</v>
      </c>
      <c r="AJ199" s="1">
        <v>7.0</v>
      </c>
      <c r="AK199" s="1">
        <f t="shared" si="1"/>
        <v>20</v>
      </c>
      <c r="AL199" s="1">
        <v>1.0</v>
      </c>
      <c r="AM199" s="1">
        <v>240.0</v>
      </c>
      <c r="AN199" s="1">
        <f t="shared" si="2"/>
        <v>240</v>
      </c>
      <c r="AO199" s="1">
        <f t="shared" si="4"/>
        <v>1.004166667</v>
      </c>
      <c r="AP199" s="1"/>
    </row>
    <row r="200" ht="12.75" customHeight="1">
      <c r="A200" s="1" t="s">
        <v>1075</v>
      </c>
      <c r="B200" s="1" t="s">
        <v>1076</v>
      </c>
      <c r="C200" s="4" t="s">
        <v>44</v>
      </c>
      <c r="D200" s="1" t="s">
        <v>99</v>
      </c>
      <c r="E200" s="1" t="s">
        <v>100</v>
      </c>
      <c r="F200" s="1" t="s">
        <v>101</v>
      </c>
      <c r="G200" s="1"/>
      <c r="H200" s="1" t="s">
        <v>48</v>
      </c>
      <c r="I200" s="1" t="s">
        <v>1729</v>
      </c>
      <c r="J200" s="1">
        <v>20.0</v>
      </c>
      <c r="K200" s="1">
        <v>90.0</v>
      </c>
      <c r="L200" s="1">
        <v>1999.0</v>
      </c>
      <c r="M200" s="1"/>
      <c r="N200" s="1"/>
      <c r="O200" s="1">
        <v>2019.0</v>
      </c>
      <c r="P200" s="1" t="s">
        <v>105</v>
      </c>
      <c r="Q200" s="4" t="s">
        <v>51</v>
      </c>
      <c r="R200" s="1" t="s">
        <v>266</v>
      </c>
      <c r="S200" s="1" t="s">
        <v>106</v>
      </c>
      <c r="T200" s="4" t="s">
        <v>106</v>
      </c>
      <c r="U200" s="1">
        <v>1999.0</v>
      </c>
      <c r="V200" s="1"/>
      <c r="W200" s="1"/>
      <c r="X200" s="4" t="s">
        <v>55</v>
      </c>
      <c r="Y200" s="4" t="s">
        <v>45</v>
      </c>
      <c r="Z200" s="1" t="s">
        <v>126</v>
      </c>
      <c r="AA200" s="1" t="s">
        <v>126</v>
      </c>
      <c r="AB200" s="1" t="s">
        <v>126</v>
      </c>
      <c r="AC200" s="1" t="s">
        <v>58</v>
      </c>
      <c r="AD200" s="1" t="s">
        <v>143</v>
      </c>
      <c r="AE200" s="1" t="s">
        <v>60</v>
      </c>
      <c r="AF200" s="1" t="s">
        <v>1687</v>
      </c>
      <c r="AG200" s="4" t="s">
        <v>62</v>
      </c>
      <c r="AH200" s="1">
        <v>7.0</v>
      </c>
      <c r="AI200" s="1">
        <v>8.0</v>
      </c>
      <c r="AJ200" s="1">
        <v>7.0</v>
      </c>
      <c r="AK200" s="1">
        <f t="shared" si="1"/>
        <v>22</v>
      </c>
      <c r="AL200" s="1">
        <v>1.0</v>
      </c>
      <c r="AM200" s="1">
        <v>208.0</v>
      </c>
      <c r="AN200" s="1">
        <f t="shared" si="2"/>
        <v>208</v>
      </c>
      <c r="AO200" s="1">
        <f t="shared" si="4"/>
        <v>1.104807692</v>
      </c>
      <c r="AP200" s="4" t="s">
        <v>1077</v>
      </c>
    </row>
    <row r="201" ht="12.75" customHeight="1">
      <c r="A201" s="1" t="s">
        <v>985</v>
      </c>
      <c r="B201" s="1" t="s">
        <v>986</v>
      </c>
      <c r="C201" s="4" t="s">
        <v>44</v>
      </c>
      <c r="D201" s="1" t="s">
        <v>45</v>
      </c>
      <c r="E201" s="4" t="s">
        <v>124</v>
      </c>
      <c r="F201" s="1" t="s">
        <v>126</v>
      </c>
      <c r="G201" s="1"/>
      <c r="H201" s="1" t="s">
        <v>65</v>
      </c>
      <c r="I201" s="1" t="s">
        <v>1679</v>
      </c>
      <c r="J201" s="1">
        <v>21.0</v>
      </c>
      <c r="K201" s="1">
        <v>0.0</v>
      </c>
      <c r="L201" s="1">
        <v>2004.0</v>
      </c>
      <c r="M201" s="1"/>
      <c r="N201" s="1"/>
      <c r="O201" s="1">
        <v>2019.0</v>
      </c>
      <c r="P201" s="1" t="s">
        <v>105</v>
      </c>
      <c r="Q201" s="4" t="s">
        <v>51</v>
      </c>
      <c r="R201" s="1" t="s">
        <v>52</v>
      </c>
      <c r="S201" s="1" t="s">
        <v>270</v>
      </c>
      <c r="T201" s="4" t="s">
        <v>106</v>
      </c>
      <c r="U201" s="1">
        <v>2004.0</v>
      </c>
      <c r="V201" s="1"/>
      <c r="W201" s="1"/>
      <c r="X201" s="4" t="s">
        <v>55</v>
      </c>
      <c r="Y201" s="4" t="s">
        <v>45</v>
      </c>
      <c r="Z201" s="1" t="s">
        <v>126</v>
      </c>
      <c r="AA201" s="1" t="s">
        <v>1630</v>
      </c>
      <c r="AB201" s="1" t="s">
        <v>1630</v>
      </c>
      <c r="AC201" s="1" t="s">
        <v>69</v>
      </c>
      <c r="AD201" s="1" t="s">
        <v>1804</v>
      </c>
      <c r="AE201" s="1" t="s">
        <v>60</v>
      </c>
      <c r="AF201" s="1" t="s">
        <v>1687</v>
      </c>
      <c r="AG201" s="4" t="s">
        <v>62</v>
      </c>
      <c r="AH201" s="1">
        <v>5.0</v>
      </c>
      <c r="AI201" s="1">
        <v>5.0</v>
      </c>
      <c r="AJ201" s="1">
        <v>6.0</v>
      </c>
      <c r="AK201" s="1">
        <f t="shared" si="1"/>
        <v>16</v>
      </c>
      <c r="AL201" s="1">
        <v>1.0</v>
      </c>
      <c r="AM201" s="1">
        <v>432.0</v>
      </c>
      <c r="AN201" s="1">
        <f t="shared" si="2"/>
        <v>432</v>
      </c>
      <c r="AO201" s="1">
        <f t="shared" si="4"/>
        <v>0.8023148148</v>
      </c>
      <c r="AP201" s="4" t="s">
        <v>987</v>
      </c>
    </row>
    <row r="202" ht="12.75" customHeight="1">
      <c r="A202" s="1" t="s">
        <v>1066</v>
      </c>
      <c r="B202" s="1" t="s">
        <v>1067</v>
      </c>
      <c r="C202" s="4" t="s">
        <v>44</v>
      </c>
      <c r="D202" s="1" t="s">
        <v>99</v>
      </c>
      <c r="E202" s="1" t="s">
        <v>173</v>
      </c>
      <c r="F202" s="1" t="s">
        <v>175</v>
      </c>
      <c r="G202" s="1"/>
      <c r="H202" s="1" t="s">
        <v>65</v>
      </c>
      <c r="I202" s="1" t="s">
        <v>1729</v>
      </c>
      <c r="J202" s="1">
        <v>21.0</v>
      </c>
      <c r="K202" s="1">
        <v>0.0</v>
      </c>
      <c r="L202" s="1">
        <v>2005.0</v>
      </c>
      <c r="M202" s="1"/>
      <c r="N202" s="1"/>
      <c r="O202" s="1">
        <v>2019.0</v>
      </c>
      <c r="P202" s="1" t="s">
        <v>105</v>
      </c>
      <c r="Q202" s="4" t="s">
        <v>51</v>
      </c>
      <c r="R202" s="1" t="s">
        <v>52</v>
      </c>
      <c r="S202" s="1" t="s">
        <v>106</v>
      </c>
      <c r="T202" s="4" t="s">
        <v>1805</v>
      </c>
      <c r="U202" s="1">
        <v>1960.0</v>
      </c>
      <c r="V202" s="1"/>
      <c r="W202" s="1"/>
      <c r="X202" s="4" t="s">
        <v>55</v>
      </c>
      <c r="Y202" s="4" t="s">
        <v>45</v>
      </c>
      <c r="Z202" s="1" t="s">
        <v>126</v>
      </c>
      <c r="AA202" s="1" t="s">
        <v>126</v>
      </c>
      <c r="AB202" s="1" t="s">
        <v>126</v>
      </c>
      <c r="AC202" s="1" t="s">
        <v>19</v>
      </c>
      <c r="AD202" s="1" t="s">
        <v>244</v>
      </c>
      <c r="AE202" s="1" t="s">
        <v>60</v>
      </c>
      <c r="AF202" s="1" t="s">
        <v>1687</v>
      </c>
      <c r="AG202" s="4" t="s">
        <v>62</v>
      </c>
      <c r="AH202" s="1">
        <v>7.0</v>
      </c>
      <c r="AI202" s="1">
        <v>8.0</v>
      </c>
      <c r="AJ202" s="1">
        <v>6.0</v>
      </c>
      <c r="AK202" s="1">
        <f t="shared" si="1"/>
        <v>21</v>
      </c>
      <c r="AL202" s="1">
        <v>1.0</v>
      </c>
      <c r="AM202" s="1">
        <v>272.0</v>
      </c>
      <c r="AN202" s="1">
        <f t="shared" si="2"/>
        <v>272</v>
      </c>
      <c r="AO202" s="1">
        <f t="shared" si="4"/>
        <v>1.053676471</v>
      </c>
      <c r="AP202" s="4" t="s">
        <v>1068</v>
      </c>
    </row>
    <row r="203" ht="12.75" customHeight="1">
      <c r="A203" s="1" t="s">
        <v>1135</v>
      </c>
      <c r="B203" s="1" t="s">
        <v>1136</v>
      </c>
      <c r="C203" s="4" t="s">
        <v>44</v>
      </c>
      <c r="D203" s="1" t="s">
        <v>99</v>
      </c>
      <c r="E203" s="1" t="s">
        <v>100</v>
      </c>
      <c r="F203" s="1" t="s">
        <v>101</v>
      </c>
      <c r="G203" s="1"/>
      <c r="H203" s="1" t="s">
        <v>65</v>
      </c>
      <c r="I203" s="1" t="s">
        <v>103</v>
      </c>
      <c r="J203" s="1">
        <v>21.0</v>
      </c>
      <c r="K203" s="1">
        <v>10.0</v>
      </c>
      <c r="L203" s="1">
        <v>2011.0</v>
      </c>
      <c r="M203" s="1"/>
      <c r="N203" s="1"/>
      <c r="O203" s="1">
        <v>2019.0</v>
      </c>
      <c r="P203" s="1" t="s">
        <v>105</v>
      </c>
      <c r="Q203" s="4" t="s">
        <v>51</v>
      </c>
      <c r="R203" s="1" t="s">
        <v>52</v>
      </c>
      <c r="S203" s="1" t="s">
        <v>291</v>
      </c>
      <c r="T203" s="4" t="s">
        <v>1833</v>
      </c>
      <c r="U203" s="1">
        <v>1965.0</v>
      </c>
      <c r="V203" s="1"/>
      <c r="W203" s="1"/>
      <c r="X203" s="4" t="s">
        <v>55</v>
      </c>
      <c r="Y203" s="4" t="s">
        <v>99</v>
      </c>
      <c r="Z203" s="4" t="s">
        <v>101</v>
      </c>
      <c r="AA203" s="1" t="s">
        <v>1834</v>
      </c>
      <c r="AB203" s="1" t="s">
        <v>1835</v>
      </c>
      <c r="AC203" s="1" t="s">
        <v>69</v>
      </c>
      <c r="AD203" s="1" t="s">
        <v>1836</v>
      </c>
      <c r="AE203" s="1" t="s">
        <v>60</v>
      </c>
      <c r="AF203" s="1" t="s">
        <v>1687</v>
      </c>
      <c r="AG203" s="4" t="s">
        <v>62</v>
      </c>
      <c r="AH203" s="1">
        <v>6.0</v>
      </c>
      <c r="AI203" s="1">
        <v>6.0</v>
      </c>
      <c r="AJ203" s="1">
        <v>7.0</v>
      </c>
      <c r="AK203" s="1">
        <f t="shared" si="1"/>
        <v>19</v>
      </c>
      <c r="AL203" s="1">
        <v>1.0</v>
      </c>
      <c r="AM203" s="1">
        <v>176.0</v>
      </c>
      <c r="AN203" s="1">
        <f t="shared" si="2"/>
        <v>176</v>
      </c>
      <c r="AO203" s="1">
        <f t="shared" si="4"/>
        <v>0.9556818182</v>
      </c>
      <c r="AP203" s="4" t="s">
        <v>1137</v>
      </c>
    </row>
    <row r="204" ht="12.75" customHeight="1">
      <c r="A204" s="1" t="s">
        <v>787</v>
      </c>
      <c r="B204" s="1" t="s">
        <v>788</v>
      </c>
      <c r="C204" s="4" t="s">
        <v>44</v>
      </c>
      <c r="D204" s="1" t="s">
        <v>45</v>
      </c>
      <c r="E204" s="1" t="s">
        <v>46</v>
      </c>
      <c r="F204" s="1" t="s">
        <v>47</v>
      </c>
      <c r="G204" s="1" t="s">
        <v>788</v>
      </c>
      <c r="H204" s="1" t="s">
        <v>48</v>
      </c>
      <c r="I204" s="1" t="s">
        <v>421</v>
      </c>
      <c r="J204" s="1">
        <v>21.0</v>
      </c>
      <c r="K204" s="1">
        <v>20.0</v>
      </c>
      <c r="L204" s="1">
        <v>2013.0</v>
      </c>
      <c r="M204" s="1"/>
      <c r="N204" s="1"/>
      <c r="O204" s="1">
        <v>2019.0</v>
      </c>
      <c r="P204" s="1" t="s">
        <v>105</v>
      </c>
      <c r="Q204" s="4" t="s">
        <v>51</v>
      </c>
      <c r="R204" s="1" t="s">
        <v>52</v>
      </c>
      <c r="S204" s="1" t="s">
        <v>300</v>
      </c>
      <c r="T204" s="4" t="s">
        <v>91</v>
      </c>
      <c r="U204" s="1">
        <v>2013.0</v>
      </c>
      <c r="V204" s="1"/>
      <c r="W204" s="1"/>
      <c r="X204" s="4" t="s">
        <v>55</v>
      </c>
      <c r="Y204" s="4" t="s">
        <v>45</v>
      </c>
      <c r="Z204" s="1" t="s">
        <v>47</v>
      </c>
      <c r="AA204" s="1" t="s">
        <v>481</v>
      </c>
      <c r="AB204" s="1" t="s">
        <v>481</v>
      </c>
      <c r="AC204" s="1" t="s">
        <v>465</v>
      </c>
      <c r="AD204" s="1" t="s">
        <v>216</v>
      </c>
      <c r="AE204" s="1" t="s">
        <v>60</v>
      </c>
      <c r="AF204" s="1" t="s">
        <v>1687</v>
      </c>
      <c r="AG204" s="4" t="s">
        <v>62</v>
      </c>
      <c r="AH204" s="1">
        <v>6.0</v>
      </c>
      <c r="AI204" s="1">
        <v>5.0</v>
      </c>
      <c r="AJ204" s="1">
        <v>5.0</v>
      </c>
      <c r="AK204" s="1">
        <f t="shared" si="1"/>
        <v>16</v>
      </c>
      <c r="AL204" s="1">
        <v>1.0</v>
      </c>
      <c r="AM204" s="1">
        <v>200.0</v>
      </c>
      <c r="AN204" s="1">
        <f t="shared" si="2"/>
        <v>200</v>
      </c>
      <c r="AO204" s="1">
        <f t="shared" si="4"/>
        <v>0.805</v>
      </c>
      <c r="AP204" s="4" t="s">
        <v>789</v>
      </c>
    </row>
    <row r="205" ht="12.75" customHeight="1">
      <c r="A205" s="1" t="s">
        <v>1057</v>
      </c>
      <c r="B205" s="1" t="s">
        <v>1058</v>
      </c>
      <c r="C205" s="4" t="s">
        <v>44</v>
      </c>
      <c r="D205" s="1" t="s">
        <v>99</v>
      </c>
      <c r="E205" s="1" t="s">
        <v>100</v>
      </c>
      <c r="F205" s="1" t="s">
        <v>101</v>
      </c>
      <c r="G205" s="4" t="s">
        <v>1837</v>
      </c>
      <c r="H205" s="1" t="s">
        <v>48</v>
      </c>
      <c r="I205" s="1" t="s">
        <v>1838</v>
      </c>
      <c r="J205" s="1">
        <v>21.0</v>
      </c>
      <c r="K205" s="1">
        <v>10.0</v>
      </c>
      <c r="L205" s="1">
        <v>2016.0</v>
      </c>
      <c r="M205" s="1"/>
      <c r="N205" s="1"/>
      <c r="O205" s="1">
        <v>2019.0</v>
      </c>
      <c r="P205" s="1" t="s">
        <v>105</v>
      </c>
      <c r="Q205" s="4" t="s">
        <v>51</v>
      </c>
      <c r="R205" s="1" t="s">
        <v>52</v>
      </c>
      <c r="S205" s="1" t="s">
        <v>270</v>
      </c>
      <c r="T205" s="4" t="s">
        <v>106</v>
      </c>
      <c r="U205" s="1">
        <v>2016.0</v>
      </c>
      <c r="V205" s="1"/>
      <c r="W205" s="1"/>
      <c r="X205" s="4" t="s">
        <v>55</v>
      </c>
      <c r="Y205" s="4" t="s">
        <v>212</v>
      </c>
      <c r="Z205" s="1" t="s">
        <v>213</v>
      </c>
      <c r="AA205" s="1" t="s">
        <v>213</v>
      </c>
      <c r="AB205" s="1" t="s">
        <v>1839</v>
      </c>
      <c r="AC205" s="1" t="s">
        <v>542</v>
      </c>
      <c r="AD205" s="1" t="s">
        <v>1840</v>
      </c>
      <c r="AE205" s="1" t="s">
        <v>60</v>
      </c>
      <c r="AF205" s="1" t="s">
        <v>1687</v>
      </c>
      <c r="AG205" s="4" t="s">
        <v>62</v>
      </c>
      <c r="AH205" s="1">
        <v>6.0</v>
      </c>
      <c r="AI205" s="1">
        <v>7.0</v>
      </c>
      <c r="AJ205" s="1">
        <v>7.0</v>
      </c>
      <c r="AK205" s="1">
        <f t="shared" si="1"/>
        <v>20</v>
      </c>
      <c r="AL205" s="1">
        <v>1.0</v>
      </c>
      <c r="AM205" s="1">
        <v>368.0</v>
      </c>
      <c r="AN205" s="1">
        <f t="shared" si="2"/>
        <v>368</v>
      </c>
      <c r="AO205" s="1">
        <f t="shared" si="4"/>
        <v>1.002717391</v>
      </c>
      <c r="AP205" s="4" t="s">
        <v>1059</v>
      </c>
    </row>
    <row r="206" ht="12.75" customHeight="1">
      <c r="A206" s="1" t="s">
        <v>863</v>
      </c>
      <c r="B206" s="1" t="s">
        <v>864</v>
      </c>
      <c r="C206" s="4" t="s">
        <v>44</v>
      </c>
      <c r="D206" s="1" t="s">
        <v>99</v>
      </c>
      <c r="E206" s="1" t="s">
        <v>173</v>
      </c>
      <c r="F206" s="1" t="s">
        <v>178</v>
      </c>
      <c r="G206" s="4" t="s">
        <v>1841</v>
      </c>
      <c r="H206" s="1" t="s">
        <v>48</v>
      </c>
      <c r="I206" s="1" t="s">
        <v>1801</v>
      </c>
      <c r="J206" s="1">
        <v>21.0</v>
      </c>
      <c r="K206" s="1">
        <v>10.0</v>
      </c>
      <c r="L206" s="1">
        <v>2017.0</v>
      </c>
      <c r="M206" s="1"/>
      <c r="N206" s="1"/>
      <c r="O206" s="1">
        <v>2019.0</v>
      </c>
      <c r="P206" s="1" t="s">
        <v>105</v>
      </c>
      <c r="Q206" s="4" t="s">
        <v>51</v>
      </c>
      <c r="R206" s="1" t="s">
        <v>52</v>
      </c>
      <c r="S206" s="1" t="s">
        <v>106</v>
      </c>
      <c r="T206" s="4" t="s">
        <v>1842</v>
      </c>
      <c r="U206" s="1">
        <v>1975.0</v>
      </c>
      <c r="V206" s="1"/>
      <c r="W206" s="1"/>
      <c r="X206" s="4" t="s">
        <v>55</v>
      </c>
      <c r="Y206" s="4" t="s">
        <v>99</v>
      </c>
      <c r="Z206" s="1" t="s">
        <v>178</v>
      </c>
      <c r="AA206" s="4" t="s">
        <v>1843</v>
      </c>
      <c r="AB206" s="4" t="s">
        <v>1843</v>
      </c>
      <c r="AC206" s="1" t="s">
        <v>69</v>
      </c>
      <c r="AD206" s="1" t="s">
        <v>59</v>
      </c>
      <c r="AE206" s="1" t="s">
        <v>60</v>
      </c>
      <c r="AF206" s="1" t="s">
        <v>1687</v>
      </c>
      <c r="AG206" s="4" t="s">
        <v>62</v>
      </c>
      <c r="AH206" s="1">
        <v>7.0</v>
      </c>
      <c r="AI206" s="1">
        <v>7.0</v>
      </c>
      <c r="AJ206" s="1">
        <v>6.0</v>
      </c>
      <c r="AK206" s="1">
        <f t="shared" si="1"/>
        <v>20</v>
      </c>
      <c r="AL206" s="1">
        <v>1.0</v>
      </c>
      <c r="AM206" s="1">
        <v>176.0</v>
      </c>
      <c r="AN206" s="1">
        <f t="shared" si="2"/>
        <v>176</v>
      </c>
      <c r="AO206" s="1">
        <f t="shared" si="4"/>
        <v>1.005681818</v>
      </c>
      <c r="AP206" s="4" t="s">
        <v>865</v>
      </c>
    </row>
    <row r="207" ht="12.75" customHeight="1">
      <c r="A207" s="1" t="s">
        <v>1537</v>
      </c>
      <c r="B207" s="1" t="s">
        <v>1538</v>
      </c>
      <c r="C207" s="4" t="s">
        <v>44</v>
      </c>
      <c r="D207" s="1" t="s">
        <v>45</v>
      </c>
      <c r="E207" s="4" t="s">
        <v>124</v>
      </c>
      <c r="F207" s="1" t="s">
        <v>126</v>
      </c>
      <c r="G207" s="1"/>
      <c r="H207" s="1" t="s">
        <v>48</v>
      </c>
      <c r="I207" s="1" t="s">
        <v>1844</v>
      </c>
      <c r="J207" s="1">
        <v>21.0</v>
      </c>
      <c r="K207" s="1">
        <v>10.0</v>
      </c>
      <c r="L207" s="1">
        <v>2017.0</v>
      </c>
      <c r="M207" s="1"/>
      <c r="N207" s="1"/>
      <c r="O207" s="1">
        <v>2019.0</v>
      </c>
      <c r="P207" s="1" t="s">
        <v>105</v>
      </c>
      <c r="Q207" s="4" t="s">
        <v>51</v>
      </c>
      <c r="R207" s="1" t="s">
        <v>52</v>
      </c>
      <c r="S207" s="1" t="s">
        <v>106</v>
      </c>
      <c r="T207" s="4" t="s">
        <v>1845</v>
      </c>
      <c r="U207" s="4">
        <v>1950.0</v>
      </c>
      <c r="V207" s="1"/>
      <c r="W207" s="1"/>
      <c r="X207" s="4" t="s">
        <v>55</v>
      </c>
      <c r="Y207" s="4" t="s">
        <v>45</v>
      </c>
      <c r="Z207" s="1" t="s">
        <v>126</v>
      </c>
      <c r="AA207" s="1" t="s">
        <v>1674</v>
      </c>
      <c r="AB207" s="1" t="s">
        <v>1846</v>
      </c>
      <c r="AC207" s="1" t="s">
        <v>92</v>
      </c>
      <c r="AD207" s="1" t="s">
        <v>1695</v>
      </c>
      <c r="AE207" s="1" t="s">
        <v>60</v>
      </c>
      <c r="AF207" s="1" t="s">
        <v>1687</v>
      </c>
      <c r="AG207" s="4" t="s">
        <v>62</v>
      </c>
      <c r="AH207" s="1">
        <v>6.0</v>
      </c>
      <c r="AI207" s="1">
        <v>7.0</v>
      </c>
      <c r="AJ207" s="1">
        <v>7.0</v>
      </c>
      <c r="AK207" s="1">
        <f t="shared" si="1"/>
        <v>20</v>
      </c>
      <c r="AL207" s="1">
        <v>1.0</v>
      </c>
      <c r="AM207" s="1">
        <v>412.0</v>
      </c>
      <c r="AN207" s="1">
        <f t="shared" si="2"/>
        <v>412</v>
      </c>
      <c r="AO207" s="1">
        <f t="shared" si="4"/>
        <v>1.002427184</v>
      </c>
      <c r="AP207" s="4" t="s">
        <v>1539</v>
      </c>
    </row>
    <row r="208" ht="12.75" customHeight="1">
      <c r="A208" s="1" t="s">
        <v>1160</v>
      </c>
      <c r="B208" s="1" t="s">
        <v>1161</v>
      </c>
      <c r="C208" s="4" t="s">
        <v>44</v>
      </c>
      <c r="D208" s="1" t="s">
        <v>45</v>
      </c>
      <c r="E208" s="4" t="s">
        <v>124</v>
      </c>
      <c r="F208" s="1" t="s">
        <v>126</v>
      </c>
      <c r="G208" s="1"/>
      <c r="H208" s="1" t="s">
        <v>48</v>
      </c>
      <c r="I208" s="1" t="s">
        <v>1642</v>
      </c>
      <c r="J208" s="1">
        <v>21.0</v>
      </c>
      <c r="K208" s="1">
        <v>10.0</v>
      </c>
      <c r="L208" s="1">
        <v>2017.0</v>
      </c>
      <c r="M208" s="1"/>
      <c r="N208" s="1"/>
      <c r="O208" s="1">
        <v>2019.0</v>
      </c>
      <c r="P208" s="1" t="s">
        <v>105</v>
      </c>
      <c r="Q208" s="4" t="s">
        <v>51</v>
      </c>
      <c r="R208" s="1" t="s">
        <v>52</v>
      </c>
      <c r="S208" s="1" t="s">
        <v>244</v>
      </c>
      <c r="T208" s="1" t="s">
        <v>1725</v>
      </c>
      <c r="U208" s="1">
        <v>1916.0</v>
      </c>
      <c r="V208" s="1"/>
      <c r="W208" s="1"/>
      <c r="X208" s="4" t="s">
        <v>55</v>
      </c>
      <c r="Y208" s="4" t="s">
        <v>99</v>
      </c>
      <c r="Z208" s="1" t="s">
        <v>183</v>
      </c>
      <c r="AA208" s="1" t="s">
        <v>183</v>
      </c>
      <c r="AB208" s="1" t="s">
        <v>183</v>
      </c>
      <c r="AC208" s="1" t="s">
        <v>1781</v>
      </c>
      <c r="AD208" s="1" t="s">
        <v>1847</v>
      </c>
      <c r="AE208" s="1" t="s">
        <v>60</v>
      </c>
      <c r="AF208" s="1" t="s">
        <v>1687</v>
      </c>
      <c r="AG208" s="4" t="s">
        <v>62</v>
      </c>
      <c r="AH208" s="1">
        <v>7.0</v>
      </c>
      <c r="AI208" s="1">
        <v>7.0</v>
      </c>
      <c r="AJ208" s="1">
        <v>6.0</v>
      </c>
      <c r="AK208" s="1">
        <f t="shared" si="1"/>
        <v>20</v>
      </c>
      <c r="AL208" s="1">
        <v>1.0</v>
      </c>
      <c r="AM208" s="1">
        <v>528.0</v>
      </c>
      <c r="AN208" s="1">
        <f t="shared" si="2"/>
        <v>528</v>
      </c>
      <c r="AO208" s="1">
        <f t="shared" si="4"/>
        <v>1.001893939</v>
      </c>
      <c r="AP208" s="4" t="s">
        <v>1162</v>
      </c>
    </row>
    <row r="209" ht="12.75" customHeight="1">
      <c r="A209" s="1" t="s">
        <v>1265</v>
      </c>
      <c r="B209" s="1" t="s">
        <v>1266</v>
      </c>
      <c r="C209" s="4" t="s">
        <v>44</v>
      </c>
      <c r="D209" s="1" t="s">
        <v>99</v>
      </c>
      <c r="E209" s="1" t="s">
        <v>180</v>
      </c>
      <c r="F209" s="1" t="s">
        <v>181</v>
      </c>
      <c r="G209" s="1"/>
      <c r="H209" s="1" t="s">
        <v>48</v>
      </c>
      <c r="I209" s="1" t="s">
        <v>1668</v>
      </c>
      <c r="J209" s="1">
        <v>21.0</v>
      </c>
      <c r="K209" s="1">
        <v>10.0</v>
      </c>
      <c r="L209" s="1">
        <v>2017.0</v>
      </c>
      <c r="M209" s="1"/>
      <c r="N209" s="1"/>
      <c r="O209" s="1">
        <v>2019.0</v>
      </c>
      <c r="P209" s="1" t="s">
        <v>105</v>
      </c>
      <c r="Q209" s="4" t="s">
        <v>51</v>
      </c>
      <c r="R209" s="1" t="s">
        <v>52</v>
      </c>
      <c r="S209" s="1" t="s">
        <v>298</v>
      </c>
      <c r="T209" s="4" t="s">
        <v>1848</v>
      </c>
      <c r="U209" s="1">
        <v>2017.0</v>
      </c>
      <c r="V209" s="1"/>
      <c r="W209" s="1"/>
      <c r="X209" s="4" t="s">
        <v>55</v>
      </c>
      <c r="Y209" s="4" t="s">
        <v>99</v>
      </c>
      <c r="Z209" s="1" t="s">
        <v>181</v>
      </c>
      <c r="AA209" s="4" t="s">
        <v>1849</v>
      </c>
      <c r="AB209" s="4" t="s">
        <v>1849</v>
      </c>
      <c r="AC209" s="1" t="s">
        <v>19</v>
      </c>
      <c r="AD209" s="1" t="s">
        <v>1850</v>
      </c>
      <c r="AE209" s="1" t="s">
        <v>143</v>
      </c>
      <c r="AF209" s="1" t="s">
        <v>1687</v>
      </c>
      <c r="AG209" s="4" t="s">
        <v>62</v>
      </c>
      <c r="AH209" s="1">
        <v>8.0</v>
      </c>
      <c r="AI209" s="1">
        <v>9.0</v>
      </c>
      <c r="AJ209" s="1">
        <v>8.0</v>
      </c>
      <c r="AK209" s="1">
        <f t="shared" si="1"/>
        <v>25</v>
      </c>
      <c r="AL209" s="1">
        <v>1.0</v>
      </c>
      <c r="AM209" s="1">
        <v>315.0</v>
      </c>
      <c r="AN209" s="1">
        <f t="shared" si="2"/>
        <v>315</v>
      </c>
      <c r="AO209" s="1">
        <f t="shared" si="4"/>
        <v>1.253174603</v>
      </c>
      <c r="AP209" s="4" t="s">
        <v>1267</v>
      </c>
    </row>
    <row r="210" ht="12.75" customHeight="1">
      <c r="A210" s="1" t="s">
        <v>1147</v>
      </c>
      <c r="B210" s="1" t="s">
        <v>1148</v>
      </c>
      <c r="C210" s="4" t="s">
        <v>44</v>
      </c>
      <c r="D210" s="1" t="s">
        <v>45</v>
      </c>
      <c r="E210" s="4" t="s">
        <v>124</v>
      </c>
      <c r="F210" s="1" t="s">
        <v>126</v>
      </c>
      <c r="G210" s="1"/>
      <c r="H210" s="1" t="s">
        <v>48</v>
      </c>
      <c r="I210" s="1" t="s">
        <v>1642</v>
      </c>
      <c r="J210" s="1">
        <v>21.0</v>
      </c>
      <c r="K210" s="1">
        <v>10.0</v>
      </c>
      <c r="L210" s="1">
        <v>2018.0</v>
      </c>
      <c r="M210" s="1"/>
      <c r="N210" s="1"/>
      <c r="O210" s="1">
        <v>2019.0</v>
      </c>
      <c r="P210" s="1" t="s">
        <v>105</v>
      </c>
      <c r="Q210" s="4" t="s">
        <v>51</v>
      </c>
      <c r="R210" s="1" t="s">
        <v>52</v>
      </c>
      <c r="S210" s="1" t="s">
        <v>270</v>
      </c>
      <c r="T210" s="4" t="s">
        <v>106</v>
      </c>
      <c r="U210" s="1">
        <v>2018.0</v>
      </c>
      <c r="V210" s="1"/>
      <c r="W210" s="1"/>
      <c r="X210" s="4" t="s">
        <v>55</v>
      </c>
      <c r="Y210" s="4" t="s">
        <v>45</v>
      </c>
      <c r="Z210" s="1" t="s">
        <v>126</v>
      </c>
      <c r="AA210" s="1" t="s">
        <v>1851</v>
      </c>
      <c r="AB210" s="1" t="s">
        <v>1851</v>
      </c>
      <c r="AC210" s="1" t="s">
        <v>58</v>
      </c>
      <c r="AD210" s="1" t="s">
        <v>385</v>
      </c>
      <c r="AE210" s="1" t="s">
        <v>60</v>
      </c>
      <c r="AF210" s="1" t="s">
        <v>1687</v>
      </c>
      <c r="AG210" s="4" t="s">
        <v>62</v>
      </c>
      <c r="AH210" s="1">
        <v>7.0</v>
      </c>
      <c r="AI210" s="1">
        <v>7.0</v>
      </c>
      <c r="AJ210" s="1">
        <v>6.0</v>
      </c>
      <c r="AK210" s="1">
        <f t="shared" si="1"/>
        <v>20</v>
      </c>
      <c r="AL210" s="1">
        <v>1.0</v>
      </c>
      <c r="AM210" s="1">
        <v>288.0</v>
      </c>
      <c r="AN210" s="1">
        <f t="shared" si="2"/>
        <v>288</v>
      </c>
      <c r="AO210" s="1">
        <f t="shared" si="4"/>
        <v>1.003472222</v>
      </c>
      <c r="AP210" s="4" t="s">
        <v>1149</v>
      </c>
    </row>
    <row r="211" ht="12.75" customHeight="1">
      <c r="A211" s="1" t="s">
        <v>1316</v>
      </c>
      <c r="B211" s="1" t="s">
        <v>1317</v>
      </c>
      <c r="C211" s="4" t="s">
        <v>44</v>
      </c>
      <c r="D211" s="1" t="s">
        <v>45</v>
      </c>
      <c r="E211" s="4" t="s">
        <v>124</v>
      </c>
      <c r="F211" s="1" t="s">
        <v>126</v>
      </c>
      <c r="G211" s="1"/>
      <c r="H211" s="1" t="s">
        <v>65</v>
      </c>
      <c r="I211" s="1" t="s">
        <v>1019</v>
      </c>
      <c r="J211" s="1">
        <v>21.0</v>
      </c>
      <c r="K211" s="1">
        <v>10.0</v>
      </c>
      <c r="L211" s="1">
        <v>2018.0</v>
      </c>
      <c r="M211" s="1"/>
      <c r="N211" s="1"/>
      <c r="O211" s="1">
        <v>2019.0</v>
      </c>
      <c r="P211" s="1" t="s">
        <v>105</v>
      </c>
      <c r="Q211" s="4" t="s">
        <v>51</v>
      </c>
      <c r="R211" s="1" t="s">
        <v>52</v>
      </c>
      <c r="S211" s="1" t="s">
        <v>270</v>
      </c>
      <c r="T211" s="4" t="s">
        <v>106</v>
      </c>
      <c r="U211" s="1">
        <v>2018.0</v>
      </c>
      <c r="V211" s="1"/>
      <c r="W211" s="1"/>
      <c r="X211" s="4" t="s">
        <v>55</v>
      </c>
      <c r="Y211" s="4" t="s">
        <v>45</v>
      </c>
      <c r="Z211" s="1" t="s">
        <v>126</v>
      </c>
      <c r="AA211" s="1" t="s">
        <v>1674</v>
      </c>
      <c r="AB211" s="1" t="s">
        <v>1675</v>
      </c>
      <c r="AC211" s="1" t="s">
        <v>69</v>
      </c>
      <c r="AD211" s="1" t="s">
        <v>550</v>
      </c>
      <c r="AE211" s="1" t="s">
        <v>60</v>
      </c>
      <c r="AF211" s="1" t="s">
        <v>1687</v>
      </c>
      <c r="AG211" s="4" t="s">
        <v>62</v>
      </c>
      <c r="AH211" s="1">
        <v>7.0</v>
      </c>
      <c r="AI211" s="1">
        <v>7.0</v>
      </c>
      <c r="AJ211" s="1">
        <v>6.0</v>
      </c>
      <c r="AK211" s="1">
        <f t="shared" si="1"/>
        <v>20</v>
      </c>
      <c r="AL211" s="1">
        <v>1.0</v>
      </c>
      <c r="AM211" s="1">
        <v>400.0</v>
      </c>
      <c r="AN211" s="1">
        <f t="shared" si="2"/>
        <v>400</v>
      </c>
      <c r="AO211" s="1">
        <f t="shared" si="4"/>
        <v>1.0025</v>
      </c>
      <c r="AP211" s="4" t="s">
        <v>1318</v>
      </c>
    </row>
    <row r="212" ht="12.75" customHeight="1">
      <c r="A212" s="1" t="s">
        <v>1532</v>
      </c>
      <c r="B212" s="1" t="s">
        <v>1533</v>
      </c>
      <c r="C212" s="4" t="s">
        <v>44</v>
      </c>
      <c r="D212" s="1" t="s">
        <v>45</v>
      </c>
      <c r="E212" s="4" t="s">
        <v>124</v>
      </c>
      <c r="F212" s="1" t="s">
        <v>126</v>
      </c>
      <c r="G212" s="1"/>
      <c r="H212" s="1" t="s">
        <v>48</v>
      </c>
      <c r="I212" s="1" t="s">
        <v>1679</v>
      </c>
      <c r="J212" s="1">
        <v>21.0</v>
      </c>
      <c r="K212" s="1">
        <v>10.0</v>
      </c>
      <c r="L212" s="1">
        <v>2018.0</v>
      </c>
      <c r="M212" s="1"/>
      <c r="N212" s="1"/>
      <c r="O212" s="1">
        <v>2019.0</v>
      </c>
      <c r="P212" s="1" t="s">
        <v>105</v>
      </c>
      <c r="Q212" s="4" t="s">
        <v>51</v>
      </c>
      <c r="R212" s="1" t="s">
        <v>52</v>
      </c>
      <c r="S212" s="1" t="s">
        <v>106</v>
      </c>
      <c r="T212" s="4" t="s">
        <v>106</v>
      </c>
      <c r="U212" s="1">
        <v>2018.0</v>
      </c>
      <c r="V212" s="1"/>
      <c r="W212" s="1"/>
      <c r="X212" s="4" t="s">
        <v>55</v>
      </c>
      <c r="Y212" s="4" t="s">
        <v>45</v>
      </c>
      <c r="Z212" s="1" t="s">
        <v>126</v>
      </c>
      <c r="AA212" s="1" t="s">
        <v>1799</v>
      </c>
      <c r="AB212" s="1" t="s">
        <v>1852</v>
      </c>
      <c r="AC212" s="1" t="s">
        <v>69</v>
      </c>
      <c r="AD212" s="1" t="s">
        <v>1816</v>
      </c>
      <c r="AE212" s="1" t="s">
        <v>60</v>
      </c>
      <c r="AF212" s="1" t="s">
        <v>1687</v>
      </c>
      <c r="AG212" s="4" t="s">
        <v>62</v>
      </c>
      <c r="AH212" s="1">
        <v>7.0</v>
      </c>
      <c r="AI212" s="1">
        <v>6.0</v>
      </c>
      <c r="AJ212" s="1">
        <v>6.0</v>
      </c>
      <c r="AK212" s="1">
        <f t="shared" si="1"/>
        <v>19</v>
      </c>
      <c r="AL212" s="1">
        <v>1.0</v>
      </c>
      <c r="AM212" s="1">
        <v>366.0</v>
      </c>
      <c r="AN212" s="1">
        <f t="shared" si="2"/>
        <v>366</v>
      </c>
      <c r="AO212" s="1">
        <f t="shared" si="4"/>
        <v>0.9527322404</v>
      </c>
      <c r="AP212" s="4" t="s">
        <v>1534</v>
      </c>
    </row>
    <row r="213" ht="12.75" customHeight="1">
      <c r="A213" s="1" t="s">
        <v>1484</v>
      </c>
      <c r="B213" s="1" t="s">
        <v>1485</v>
      </c>
      <c r="C213" s="4" t="s">
        <v>44</v>
      </c>
      <c r="D213" s="1" t="s">
        <v>45</v>
      </c>
      <c r="E213" s="4" t="s">
        <v>124</v>
      </c>
      <c r="F213" s="1" t="s">
        <v>126</v>
      </c>
      <c r="G213" s="1"/>
      <c r="H213" s="1" t="s">
        <v>65</v>
      </c>
      <c r="I213" s="1" t="s">
        <v>1801</v>
      </c>
      <c r="J213" s="1">
        <v>21.0</v>
      </c>
      <c r="K213" s="1">
        <v>10.0</v>
      </c>
      <c r="L213" s="1">
        <v>2018.0</v>
      </c>
      <c r="M213" s="1"/>
      <c r="N213" s="1"/>
      <c r="O213" s="1">
        <v>2019.0</v>
      </c>
      <c r="P213" s="1" t="s">
        <v>105</v>
      </c>
      <c r="Q213" s="4" t="s">
        <v>51</v>
      </c>
      <c r="R213" s="1" t="s">
        <v>52</v>
      </c>
      <c r="S213" s="1" t="s">
        <v>270</v>
      </c>
      <c r="T213" s="4" t="s">
        <v>106</v>
      </c>
      <c r="U213" s="1">
        <v>2018.0</v>
      </c>
      <c r="V213" s="1"/>
      <c r="W213" s="1"/>
      <c r="X213" s="4" t="s">
        <v>55</v>
      </c>
      <c r="Y213" s="4" t="s">
        <v>45</v>
      </c>
      <c r="Z213" s="1" t="s">
        <v>126</v>
      </c>
      <c r="AA213" s="1" t="s">
        <v>1853</v>
      </c>
      <c r="AB213" s="1" t="s">
        <v>1854</v>
      </c>
      <c r="AC213" s="1" t="s">
        <v>69</v>
      </c>
      <c r="AD213" s="1" t="s">
        <v>580</v>
      </c>
      <c r="AE213" s="1" t="s">
        <v>60</v>
      </c>
      <c r="AF213" s="1" t="s">
        <v>1687</v>
      </c>
      <c r="AG213" s="4" t="s">
        <v>62</v>
      </c>
      <c r="AH213" s="1">
        <v>5.0</v>
      </c>
      <c r="AI213" s="1">
        <v>4.0</v>
      </c>
      <c r="AJ213" s="1">
        <v>4.0</v>
      </c>
      <c r="AK213" s="1">
        <f t="shared" si="1"/>
        <v>13</v>
      </c>
      <c r="AL213" s="1">
        <v>1.0</v>
      </c>
      <c r="AM213" s="1">
        <v>304.0</v>
      </c>
      <c r="AN213" s="1">
        <f t="shared" si="2"/>
        <v>304</v>
      </c>
      <c r="AO213" s="1">
        <f t="shared" si="4"/>
        <v>0.6532894737</v>
      </c>
      <c r="AP213" s="4" t="s">
        <v>1486</v>
      </c>
    </row>
    <row r="214" ht="12.75" customHeight="1">
      <c r="A214" s="1" t="s">
        <v>1235</v>
      </c>
      <c r="B214" s="1" t="s">
        <v>1236</v>
      </c>
      <c r="C214" s="4" t="s">
        <v>44</v>
      </c>
      <c r="D214" s="1" t="s">
        <v>99</v>
      </c>
      <c r="E214" s="1" t="s">
        <v>100</v>
      </c>
      <c r="F214" s="1" t="s">
        <v>210</v>
      </c>
      <c r="G214" s="4" t="s">
        <v>1855</v>
      </c>
      <c r="H214" s="1" t="s">
        <v>48</v>
      </c>
      <c r="I214" s="1" t="s">
        <v>1684</v>
      </c>
      <c r="J214" s="1">
        <v>21.0</v>
      </c>
      <c r="K214" s="1">
        <v>10.0</v>
      </c>
      <c r="L214" s="1">
        <v>2019.0</v>
      </c>
      <c r="M214" s="1"/>
      <c r="N214" s="1"/>
      <c r="O214" s="1">
        <v>2019.0</v>
      </c>
      <c r="P214" s="1" t="s">
        <v>105</v>
      </c>
      <c r="Q214" s="4" t="s">
        <v>51</v>
      </c>
      <c r="R214" s="1" t="s">
        <v>136</v>
      </c>
      <c r="S214" s="1" t="s">
        <v>136</v>
      </c>
      <c r="T214" s="4" t="s">
        <v>106</v>
      </c>
      <c r="U214" s="1">
        <v>2019.0</v>
      </c>
      <c r="V214" s="1"/>
      <c r="W214" s="1"/>
      <c r="X214" s="4" t="s">
        <v>55</v>
      </c>
      <c r="Y214" s="4" t="s">
        <v>99</v>
      </c>
      <c r="Z214" s="4" t="s">
        <v>101</v>
      </c>
      <c r="AA214" s="4" t="s">
        <v>101</v>
      </c>
      <c r="AB214" s="4" t="s">
        <v>101</v>
      </c>
      <c r="AC214" s="1" t="s">
        <v>1781</v>
      </c>
      <c r="AD214" s="1" t="s">
        <v>143</v>
      </c>
      <c r="AE214" s="1" t="s">
        <v>143</v>
      </c>
      <c r="AF214" s="1" t="s">
        <v>1687</v>
      </c>
      <c r="AG214" s="4" t="s">
        <v>62</v>
      </c>
      <c r="AH214" s="1">
        <v>6.0</v>
      </c>
      <c r="AI214" s="1">
        <v>7.0</v>
      </c>
      <c r="AJ214" s="1">
        <v>6.0</v>
      </c>
      <c r="AK214" s="1">
        <f t="shared" si="1"/>
        <v>19</v>
      </c>
      <c r="AL214" s="1">
        <v>1.0</v>
      </c>
      <c r="AM214" s="1">
        <v>256.0</v>
      </c>
      <c r="AN214" s="1">
        <f t="shared" si="2"/>
        <v>256</v>
      </c>
      <c r="AO214" s="1">
        <f t="shared" si="4"/>
        <v>0.95390625</v>
      </c>
      <c r="AP214" s="4" t="s">
        <v>1237</v>
      </c>
    </row>
    <row r="215" ht="12.75" customHeight="1">
      <c r="A215" s="1" t="s">
        <v>1618</v>
      </c>
      <c r="B215" s="1" t="s">
        <v>1619</v>
      </c>
      <c r="C215" s="4" t="s">
        <v>44</v>
      </c>
      <c r="D215" s="1" t="s">
        <v>148</v>
      </c>
      <c r="E215" s="1" t="s">
        <v>153</v>
      </c>
      <c r="F215" s="1" t="s">
        <v>157</v>
      </c>
      <c r="G215" s="4" t="s">
        <v>1856</v>
      </c>
      <c r="H215" s="1" t="s">
        <v>48</v>
      </c>
      <c r="I215" s="1" t="s">
        <v>1857</v>
      </c>
      <c r="J215" s="1">
        <v>21.0</v>
      </c>
      <c r="K215" s="1">
        <v>10.0</v>
      </c>
      <c r="L215" s="4">
        <v>2016.0</v>
      </c>
      <c r="M215" s="1"/>
      <c r="N215" s="1"/>
      <c r="O215" s="1">
        <v>2019.0</v>
      </c>
      <c r="P215" s="1" t="s">
        <v>105</v>
      </c>
      <c r="Q215" s="4" t="s">
        <v>51</v>
      </c>
      <c r="R215" s="1" t="s">
        <v>52</v>
      </c>
      <c r="S215" s="1" t="s">
        <v>270</v>
      </c>
      <c r="T215" s="4" t="s">
        <v>106</v>
      </c>
      <c r="U215" s="1">
        <v>2019.0</v>
      </c>
      <c r="V215" s="1"/>
      <c r="W215" s="1"/>
      <c r="X215" s="4" t="s">
        <v>55</v>
      </c>
      <c r="Y215" s="4" t="s">
        <v>148</v>
      </c>
      <c r="Z215" s="1" t="s">
        <v>157</v>
      </c>
      <c r="AA215" s="1" t="s">
        <v>1858</v>
      </c>
      <c r="AB215" s="4" t="s">
        <v>1859</v>
      </c>
      <c r="AC215" s="1" t="s">
        <v>58</v>
      </c>
      <c r="AD215" s="1" t="s">
        <v>385</v>
      </c>
      <c r="AE215" s="1" t="s">
        <v>60</v>
      </c>
      <c r="AF215" s="1" t="s">
        <v>1687</v>
      </c>
      <c r="AG215" s="4" t="s">
        <v>62</v>
      </c>
      <c r="AH215" s="1">
        <v>7.0</v>
      </c>
      <c r="AI215" s="1">
        <v>6.0</v>
      </c>
      <c r="AJ215" s="1">
        <v>6.0</v>
      </c>
      <c r="AK215" s="1">
        <f t="shared" si="1"/>
        <v>19</v>
      </c>
      <c r="AL215" s="1">
        <v>1.0</v>
      </c>
      <c r="AM215" s="1">
        <v>288.0</v>
      </c>
      <c r="AN215" s="1">
        <f t="shared" si="2"/>
        <v>288</v>
      </c>
      <c r="AO215" s="1">
        <f t="shared" si="4"/>
        <v>0.9534722222</v>
      </c>
      <c r="AP215" s="4" t="s">
        <v>1620</v>
      </c>
    </row>
    <row r="216" ht="12.75" customHeight="1">
      <c r="A216" s="1" t="s">
        <v>679</v>
      </c>
      <c r="B216" s="1" t="s">
        <v>680</v>
      </c>
      <c r="C216" s="4" t="s">
        <v>44</v>
      </c>
      <c r="D216" s="1" t="s">
        <v>148</v>
      </c>
      <c r="E216" s="1" t="s">
        <v>149</v>
      </c>
      <c r="F216" s="1" t="s">
        <v>151</v>
      </c>
      <c r="G216" s="4" t="s">
        <v>1860</v>
      </c>
      <c r="H216" s="1" t="s">
        <v>48</v>
      </c>
      <c r="I216" s="1" t="s">
        <v>1789</v>
      </c>
      <c r="J216" s="1">
        <v>21.0</v>
      </c>
      <c r="K216" s="1">
        <v>10.0</v>
      </c>
      <c r="L216" s="4">
        <v>2018.0</v>
      </c>
      <c r="M216" s="1"/>
      <c r="N216" s="1"/>
      <c r="O216" s="1">
        <v>2019.0</v>
      </c>
      <c r="P216" s="1" t="s">
        <v>105</v>
      </c>
      <c r="Q216" s="4" t="s">
        <v>51</v>
      </c>
      <c r="R216" s="1" t="s">
        <v>52</v>
      </c>
      <c r="S216" s="1" t="s">
        <v>270</v>
      </c>
      <c r="T216" s="4" t="s">
        <v>106</v>
      </c>
      <c r="U216" s="4">
        <v>1988.0</v>
      </c>
      <c r="V216" s="1"/>
      <c r="W216" s="1"/>
      <c r="X216" s="4" t="s">
        <v>55</v>
      </c>
      <c r="Y216" s="4" t="s">
        <v>148</v>
      </c>
      <c r="Z216" s="1" t="s">
        <v>151</v>
      </c>
      <c r="AA216" s="4" t="s">
        <v>1861</v>
      </c>
      <c r="AB216" s="4" t="s">
        <v>1862</v>
      </c>
      <c r="AC216" s="1" t="s">
        <v>58</v>
      </c>
      <c r="AD216" s="1" t="s">
        <v>7</v>
      </c>
      <c r="AE216" s="1" t="s">
        <v>60</v>
      </c>
      <c r="AF216" s="1" t="s">
        <v>1687</v>
      </c>
      <c r="AG216" s="4" t="s">
        <v>62</v>
      </c>
      <c r="AH216" s="1">
        <v>7.0</v>
      </c>
      <c r="AI216" s="1">
        <v>6.0</v>
      </c>
      <c r="AJ216" s="1">
        <v>6.0</v>
      </c>
      <c r="AK216" s="1">
        <f t="shared" si="1"/>
        <v>19</v>
      </c>
      <c r="AL216" s="1">
        <v>1.0</v>
      </c>
      <c r="AM216" s="1">
        <v>380.0</v>
      </c>
      <c r="AN216" s="1">
        <f t="shared" si="2"/>
        <v>380</v>
      </c>
      <c r="AO216" s="1">
        <f t="shared" si="4"/>
        <v>0.9526315789</v>
      </c>
      <c r="AP216" s="4" t="s">
        <v>681</v>
      </c>
    </row>
    <row r="217" ht="12.75" customHeight="1">
      <c r="A217" s="1" t="s">
        <v>1581</v>
      </c>
      <c r="B217" s="1" t="s">
        <v>1584</v>
      </c>
      <c r="C217" s="4" t="s">
        <v>44</v>
      </c>
      <c r="D217" s="1" t="s">
        <v>45</v>
      </c>
      <c r="E217" s="1" t="s">
        <v>46</v>
      </c>
      <c r="F217" s="1" t="s">
        <v>47</v>
      </c>
      <c r="G217" s="1" t="s">
        <v>1584</v>
      </c>
      <c r="H217" s="1" t="s">
        <v>73</v>
      </c>
      <c r="I217" s="1" t="s">
        <v>1863</v>
      </c>
      <c r="J217" s="1">
        <v>21.0</v>
      </c>
      <c r="K217" s="1">
        <v>10.0</v>
      </c>
      <c r="L217" s="1">
        <v>2019.0</v>
      </c>
      <c r="M217" s="1"/>
      <c r="N217" s="1"/>
      <c r="O217" s="1">
        <v>2019.0</v>
      </c>
      <c r="P217" s="1" t="s">
        <v>105</v>
      </c>
      <c r="Q217" s="4" t="s">
        <v>51</v>
      </c>
      <c r="R217" s="1" t="s">
        <v>266</v>
      </c>
      <c r="S217" s="1" t="s">
        <v>106</v>
      </c>
      <c r="T217" s="4" t="s">
        <v>106</v>
      </c>
      <c r="U217" s="1">
        <v>2019.0</v>
      </c>
      <c r="V217" s="1"/>
      <c r="W217" s="1"/>
      <c r="X217" s="4" t="s">
        <v>139</v>
      </c>
      <c r="Y217" s="1" t="s">
        <v>139</v>
      </c>
      <c r="Z217" s="1" t="s">
        <v>139</v>
      </c>
      <c r="AA217" s="1" t="s">
        <v>139</v>
      </c>
      <c r="AB217" s="1" t="s">
        <v>139</v>
      </c>
      <c r="AC217" s="1" t="s">
        <v>69</v>
      </c>
      <c r="AD217" s="1" t="s">
        <v>479</v>
      </c>
      <c r="AE217" s="1" t="s">
        <v>60</v>
      </c>
      <c r="AF217" s="1" t="s">
        <v>1687</v>
      </c>
      <c r="AG217" s="4" t="s">
        <v>62</v>
      </c>
      <c r="AH217" s="1">
        <v>6.0</v>
      </c>
      <c r="AI217" s="1">
        <v>6.0</v>
      </c>
      <c r="AJ217" s="1">
        <v>6.0</v>
      </c>
      <c r="AK217" s="1">
        <f t="shared" si="1"/>
        <v>18</v>
      </c>
      <c r="AL217" s="1">
        <v>1.0</v>
      </c>
      <c r="AM217" s="1">
        <v>80.0</v>
      </c>
      <c r="AN217" s="1">
        <f t="shared" si="2"/>
        <v>80</v>
      </c>
      <c r="AO217" s="1">
        <f t="shared" si="4"/>
        <v>0.9125</v>
      </c>
      <c r="AP217" s="4" t="s">
        <v>1585</v>
      </c>
    </row>
    <row r="218" ht="12.75" customHeight="1">
      <c r="A218" s="1" t="s">
        <v>1274</v>
      </c>
      <c r="B218" s="1" t="s">
        <v>1275</v>
      </c>
      <c r="C218" s="4" t="s">
        <v>44</v>
      </c>
      <c r="D218" s="1" t="s">
        <v>45</v>
      </c>
      <c r="E218" s="4" t="s">
        <v>124</v>
      </c>
      <c r="F218" s="1" t="s">
        <v>126</v>
      </c>
      <c r="G218" s="4" t="s">
        <v>1864</v>
      </c>
      <c r="H218" s="1" t="s">
        <v>48</v>
      </c>
      <c r="I218" s="1" t="s">
        <v>1668</v>
      </c>
      <c r="J218" s="1">
        <v>21.0</v>
      </c>
      <c r="K218" s="1">
        <v>10.0</v>
      </c>
      <c r="L218" s="1">
        <v>2019.0</v>
      </c>
      <c r="M218" s="1"/>
      <c r="N218" s="1"/>
      <c r="O218" s="1">
        <v>2019.0</v>
      </c>
      <c r="P218" s="1" t="s">
        <v>105</v>
      </c>
      <c r="Q218" s="4" t="s">
        <v>51</v>
      </c>
      <c r="R218" s="1" t="s">
        <v>136</v>
      </c>
      <c r="S218" s="1" t="s">
        <v>244</v>
      </c>
      <c r="T218" s="1" t="s">
        <v>583</v>
      </c>
      <c r="U218" s="4">
        <v>1937.0</v>
      </c>
      <c r="V218" s="1"/>
      <c r="W218" s="1"/>
      <c r="X218" s="4" t="s">
        <v>55</v>
      </c>
      <c r="Y218" s="4" t="s">
        <v>99</v>
      </c>
      <c r="Z218" s="4" t="s">
        <v>182</v>
      </c>
      <c r="AA218" s="4" t="s">
        <v>1865</v>
      </c>
      <c r="AB218" s="4" t="s">
        <v>1865</v>
      </c>
      <c r="AC218" s="4" t="s">
        <v>1866</v>
      </c>
      <c r="AD218" s="1" t="s">
        <v>1695</v>
      </c>
      <c r="AE218" s="1" t="s">
        <v>60</v>
      </c>
      <c r="AF218" s="1" t="s">
        <v>1687</v>
      </c>
      <c r="AG218" s="4" t="s">
        <v>62</v>
      </c>
      <c r="AH218" s="1">
        <v>6.0</v>
      </c>
      <c r="AI218" s="1">
        <v>6.0</v>
      </c>
      <c r="AJ218" s="1">
        <v>7.0</v>
      </c>
      <c r="AK218" s="1">
        <f t="shared" si="1"/>
        <v>19</v>
      </c>
      <c r="AL218" s="1">
        <v>1.0</v>
      </c>
      <c r="AM218" s="1">
        <v>317.0</v>
      </c>
      <c r="AN218" s="1">
        <f t="shared" si="2"/>
        <v>317</v>
      </c>
      <c r="AO218" s="1">
        <f t="shared" si="4"/>
        <v>0.9531545741</v>
      </c>
      <c r="AP218" s="4" t="s">
        <v>1276</v>
      </c>
    </row>
    <row r="219" ht="12.75" customHeight="1">
      <c r="A219" s="1" t="s">
        <v>1112</v>
      </c>
      <c r="B219" s="1" t="s">
        <v>138</v>
      </c>
      <c r="C219" s="4" t="s">
        <v>44</v>
      </c>
      <c r="D219" s="1" t="s">
        <v>99</v>
      </c>
      <c r="E219" s="1" t="s">
        <v>173</v>
      </c>
      <c r="F219" s="1" t="s">
        <v>179</v>
      </c>
      <c r="G219" s="1" t="s">
        <v>138</v>
      </c>
      <c r="H219" s="1" t="s">
        <v>65</v>
      </c>
      <c r="I219" s="1" t="s">
        <v>421</v>
      </c>
      <c r="J219" s="1">
        <v>21.0</v>
      </c>
      <c r="K219" s="1">
        <v>10.0</v>
      </c>
      <c r="L219" s="1">
        <v>2019.0</v>
      </c>
      <c r="M219" s="1"/>
      <c r="N219" s="1"/>
      <c r="O219" s="1">
        <v>2019.0</v>
      </c>
      <c r="P219" s="1" t="s">
        <v>105</v>
      </c>
      <c r="Q219" s="4" t="s">
        <v>51</v>
      </c>
      <c r="R219" s="1" t="s">
        <v>52</v>
      </c>
      <c r="S219" s="1" t="s">
        <v>251</v>
      </c>
      <c r="T219" s="4" t="s">
        <v>106</v>
      </c>
      <c r="U219" s="1">
        <v>2019.0</v>
      </c>
      <c r="V219" s="1"/>
      <c r="W219" s="1"/>
      <c r="X219" s="4" t="s">
        <v>55</v>
      </c>
      <c r="Y219" s="4" t="s">
        <v>99</v>
      </c>
      <c r="Z219" s="1" t="s">
        <v>179</v>
      </c>
      <c r="AA219" s="1" t="s">
        <v>1867</v>
      </c>
      <c r="AB219" s="1" t="s">
        <v>1867</v>
      </c>
      <c r="AC219" s="1" t="s">
        <v>69</v>
      </c>
      <c r="AD219" s="1" t="s">
        <v>1700</v>
      </c>
      <c r="AE219" s="1" t="s">
        <v>60</v>
      </c>
      <c r="AF219" s="1" t="s">
        <v>1687</v>
      </c>
      <c r="AG219" s="4" t="s">
        <v>62</v>
      </c>
      <c r="AH219" s="1">
        <v>7.0</v>
      </c>
      <c r="AI219" s="1">
        <v>6.0</v>
      </c>
      <c r="AJ219" s="1">
        <v>7.0</v>
      </c>
      <c r="AK219" s="1">
        <f t="shared" si="1"/>
        <v>20</v>
      </c>
      <c r="AL219" s="1">
        <v>1.0</v>
      </c>
      <c r="AM219" s="1">
        <v>248.0</v>
      </c>
      <c r="AN219" s="1">
        <f t="shared" si="2"/>
        <v>248</v>
      </c>
      <c r="AO219" s="1">
        <f t="shared" si="4"/>
        <v>1.004032258</v>
      </c>
      <c r="AP219" s="4" t="s">
        <v>1114</v>
      </c>
    </row>
    <row r="220" ht="12.75" customHeight="1">
      <c r="A220" s="1" t="s">
        <v>1472</v>
      </c>
      <c r="B220" s="1" t="s">
        <v>1473</v>
      </c>
      <c r="C220" s="4" t="s">
        <v>44</v>
      </c>
      <c r="D220" s="1" t="s">
        <v>99</v>
      </c>
      <c r="E220" s="1" t="s">
        <v>100</v>
      </c>
      <c r="F220" s="1" t="s">
        <v>101</v>
      </c>
      <c r="G220" s="1"/>
      <c r="H220" s="1" t="s">
        <v>48</v>
      </c>
      <c r="I220" s="1" t="s">
        <v>1789</v>
      </c>
      <c r="J220" s="1">
        <v>21.0</v>
      </c>
      <c r="K220" s="1">
        <v>10.0</v>
      </c>
      <c r="L220" s="1">
        <v>2019.0</v>
      </c>
      <c r="M220" s="1"/>
      <c r="N220" s="1"/>
      <c r="O220" s="1">
        <v>2019.0</v>
      </c>
      <c r="P220" s="1" t="s">
        <v>105</v>
      </c>
      <c r="Q220" s="4" t="s">
        <v>51</v>
      </c>
      <c r="R220" s="1" t="s">
        <v>52</v>
      </c>
      <c r="S220" s="1" t="s">
        <v>106</v>
      </c>
      <c r="T220" s="4" t="s">
        <v>106</v>
      </c>
      <c r="U220" s="1">
        <v>2019.0</v>
      </c>
      <c r="V220" s="1"/>
      <c r="W220" s="1"/>
      <c r="X220" s="4" t="s">
        <v>55</v>
      </c>
      <c r="Y220" s="4" t="s">
        <v>99</v>
      </c>
      <c r="Z220" s="4" t="s">
        <v>101</v>
      </c>
      <c r="AA220" s="1" t="s">
        <v>1868</v>
      </c>
      <c r="AB220" s="1" t="s">
        <v>1868</v>
      </c>
      <c r="AC220" s="1" t="s">
        <v>69</v>
      </c>
      <c r="AD220" s="1" t="s">
        <v>1869</v>
      </c>
      <c r="AE220" s="1" t="s">
        <v>60</v>
      </c>
      <c r="AF220" s="1" t="s">
        <v>1687</v>
      </c>
      <c r="AG220" s="4" t="s">
        <v>62</v>
      </c>
      <c r="AH220" s="1">
        <v>7.0</v>
      </c>
      <c r="AI220" s="1">
        <v>6.0</v>
      </c>
      <c r="AJ220" s="1">
        <v>6.0</v>
      </c>
      <c r="AK220" s="1">
        <f t="shared" si="1"/>
        <v>19</v>
      </c>
      <c r="AL220" s="1">
        <v>1.0</v>
      </c>
      <c r="AM220" s="1">
        <v>384.0</v>
      </c>
      <c r="AN220" s="1">
        <f t="shared" si="2"/>
        <v>384</v>
      </c>
      <c r="AO220" s="1">
        <f t="shared" si="4"/>
        <v>0.9526041667</v>
      </c>
      <c r="AP220" s="4" t="s">
        <v>1474</v>
      </c>
    </row>
    <row r="221" ht="12.75" customHeight="1">
      <c r="A221" s="4" t="s">
        <v>1060</v>
      </c>
      <c r="B221" s="4" t="s">
        <v>1061</v>
      </c>
      <c r="C221" s="4" t="s">
        <v>44</v>
      </c>
      <c r="D221" s="8" t="s">
        <v>45</v>
      </c>
      <c r="E221" s="4" t="s">
        <v>124</v>
      </c>
      <c r="F221" s="8" t="s">
        <v>126</v>
      </c>
      <c r="G221" s="4" t="s">
        <v>1870</v>
      </c>
      <c r="H221" s="4" t="s">
        <v>65</v>
      </c>
      <c r="I221" s="4" t="s">
        <v>428</v>
      </c>
      <c r="J221" s="4">
        <v>20.0</v>
      </c>
      <c r="K221" s="4">
        <v>90.0</v>
      </c>
      <c r="L221" s="4">
        <v>1997.0</v>
      </c>
      <c r="M221" s="4">
        <v>26.0</v>
      </c>
      <c r="N221" s="4">
        <v>2.0</v>
      </c>
      <c r="O221" s="4">
        <v>2020.0</v>
      </c>
      <c r="P221" s="1" t="s">
        <v>214</v>
      </c>
      <c r="Q221" s="4" t="s">
        <v>51</v>
      </c>
      <c r="R221" s="4" t="s">
        <v>253</v>
      </c>
      <c r="S221" s="4" t="s">
        <v>256</v>
      </c>
      <c r="T221" s="4" t="s">
        <v>1693</v>
      </c>
      <c r="U221" s="4">
        <v>1997.0</v>
      </c>
      <c r="V221" s="1"/>
      <c r="W221" s="1"/>
      <c r="X221" s="4" t="s">
        <v>139</v>
      </c>
      <c r="Y221" s="4" t="s">
        <v>139</v>
      </c>
      <c r="Z221" s="4" t="s">
        <v>139</v>
      </c>
      <c r="AA221" s="4" t="s">
        <v>139</v>
      </c>
      <c r="AB221" s="4" t="s">
        <v>139</v>
      </c>
      <c r="AC221" s="4" t="s">
        <v>522</v>
      </c>
      <c r="AD221" s="4" t="s">
        <v>60</v>
      </c>
      <c r="AE221" s="4" t="s">
        <v>60</v>
      </c>
      <c r="AF221" s="4" t="s">
        <v>60</v>
      </c>
      <c r="AG221" s="4" t="s">
        <v>62</v>
      </c>
      <c r="AH221" s="1">
        <v>7.0</v>
      </c>
      <c r="AI221" s="1">
        <v>7.0</v>
      </c>
      <c r="AJ221" s="1">
        <v>7.0</v>
      </c>
      <c r="AK221" s="1">
        <f t="shared" si="1"/>
        <v>21</v>
      </c>
      <c r="AL221" s="1">
        <v>1.0</v>
      </c>
      <c r="AM221" s="4">
        <v>491.0</v>
      </c>
      <c r="AN221" s="1">
        <f t="shared" si="2"/>
        <v>491</v>
      </c>
      <c r="AO221" s="1">
        <f t="shared" si="4"/>
        <v>1.05203666</v>
      </c>
      <c r="AP221" s="4" t="s">
        <v>1062</v>
      </c>
    </row>
    <row r="222" ht="12.75" customHeight="1">
      <c r="A222" s="1" t="s">
        <v>1245</v>
      </c>
      <c r="B222" s="1" t="s">
        <v>1247</v>
      </c>
      <c r="C222" s="4" t="s">
        <v>44</v>
      </c>
      <c r="D222" s="1" t="s">
        <v>45</v>
      </c>
      <c r="E222" s="1" t="s">
        <v>46</v>
      </c>
      <c r="F222" s="1" t="s">
        <v>47</v>
      </c>
      <c r="G222" s="1" t="s">
        <v>1247</v>
      </c>
      <c r="H222" s="1" t="s">
        <v>65</v>
      </c>
      <c r="I222" s="1" t="s">
        <v>1741</v>
      </c>
      <c r="J222" s="1">
        <v>21.0</v>
      </c>
      <c r="K222" s="1">
        <v>10.0</v>
      </c>
      <c r="L222" s="1">
        <v>2015.0</v>
      </c>
      <c r="M222" s="4">
        <v>11.0</v>
      </c>
      <c r="N222" s="4">
        <v>8.0</v>
      </c>
      <c r="O222" s="4">
        <v>2020.0</v>
      </c>
      <c r="P222" s="1" t="s">
        <v>105</v>
      </c>
      <c r="Q222" s="4" t="s">
        <v>51</v>
      </c>
      <c r="R222" s="1" t="s">
        <v>136</v>
      </c>
      <c r="S222" s="1" t="s">
        <v>138</v>
      </c>
      <c r="T222" s="1" t="s">
        <v>75</v>
      </c>
      <c r="U222" s="4">
        <v>1971.0</v>
      </c>
      <c r="V222" s="4">
        <v>1.0</v>
      </c>
      <c r="W222" s="1"/>
      <c r="X222" s="4" t="s">
        <v>55</v>
      </c>
      <c r="Y222" s="4" t="s">
        <v>45</v>
      </c>
      <c r="Z222" s="1" t="s">
        <v>47</v>
      </c>
      <c r="AA222" s="4" t="s">
        <v>56</v>
      </c>
      <c r="AB222" s="4" t="s">
        <v>1871</v>
      </c>
      <c r="AC222" s="4" t="s">
        <v>561</v>
      </c>
      <c r="AD222" s="1" t="s">
        <v>1804</v>
      </c>
      <c r="AE222" s="1" t="s">
        <v>60</v>
      </c>
      <c r="AF222" s="1" t="s">
        <v>60</v>
      </c>
      <c r="AG222" s="4" t="s">
        <v>62</v>
      </c>
      <c r="AH222" s="1">
        <v>7.0</v>
      </c>
      <c r="AI222" s="1">
        <v>8.0</v>
      </c>
      <c r="AJ222" s="1">
        <v>8.0</v>
      </c>
      <c r="AK222" s="1">
        <f t="shared" si="1"/>
        <v>23</v>
      </c>
      <c r="AL222" s="1">
        <v>1.0</v>
      </c>
      <c r="AM222" s="1">
        <v>296.0</v>
      </c>
      <c r="AN222" s="1">
        <f t="shared" si="2"/>
        <v>296</v>
      </c>
      <c r="AO222" s="1">
        <f t="shared" si="4"/>
        <v>1.153378378</v>
      </c>
      <c r="AP222" s="4" t="s">
        <v>1248</v>
      </c>
    </row>
    <row r="223" ht="12.75" customHeight="1">
      <c r="A223" s="4" t="s">
        <v>699</v>
      </c>
      <c r="B223" s="4" t="s">
        <v>700</v>
      </c>
      <c r="C223" s="4" t="s">
        <v>44</v>
      </c>
      <c r="D223" s="8" t="s">
        <v>45</v>
      </c>
      <c r="E223" s="4" t="s">
        <v>124</v>
      </c>
      <c r="F223" s="8" t="s">
        <v>126</v>
      </c>
      <c r="G223" s="1"/>
      <c r="H223" s="4" t="s">
        <v>48</v>
      </c>
      <c r="I223" s="4" t="s">
        <v>1844</v>
      </c>
      <c r="J223" s="4">
        <v>21.0</v>
      </c>
      <c r="K223" s="4">
        <v>20.0</v>
      </c>
      <c r="L223" s="4">
        <v>2020.0</v>
      </c>
      <c r="M223" s="4">
        <v>28.0</v>
      </c>
      <c r="N223" s="4">
        <v>8.0</v>
      </c>
      <c r="O223" s="4">
        <v>2020.0</v>
      </c>
      <c r="P223" s="4" t="s">
        <v>105</v>
      </c>
      <c r="Q223" s="4" t="s">
        <v>51</v>
      </c>
      <c r="R223" s="4" t="s">
        <v>52</v>
      </c>
      <c r="S223" s="4" t="s">
        <v>106</v>
      </c>
      <c r="T223" s="4" t="s">
        <v>1710</v>
      </c>
      <c r="U223" s="4">
        <v>2020.0</v>
      </c>
      <c r="V223" s="1"/>
      <c r="W223" s="1"/>
      <c r="X223" s="4" t="s">
        <v>55</v>
      </c>
      <c r="Y223" s="4" t="s">
        <v>45</v>
      </c>
      <c r="Z223" s="4" t="s">
        <v>126</v>
      </c>
      <c r="AA223" s="4" t="s">
        <v>1872</v>
      </c>
      <c r="AB223" s="4" t="s">
        <v>1872</v>
      </c>
      <c r="AC223" s="4" t="s">
        <v>1781</v>
      </c>
      <c r="AD223" s="4" t="s">
        <v>1873</v>
      </c>
      <c r="AE223" s="4" t="s">
        <v>60</v>
      </c>
      <c r="AF223" s="4" t="s">
        <v>60</v>
      </c>
      <c r="AG223" s="4" t="s">
        <v>62</v>
      </c>
      <c r="AH223" s="13">
        <v>7.0</v>
      </c>
      <c r="AI223" s="13">
        <v>7.0</v>
      </c>
      <c r="AJ223" s="13">
        <v>7.0</v>
      </c>
      <c r="AK223" s="9">
        <f t="shared" si="1"/>
        <v>21</v>
      </c>
      <c r="AL223" s="9">
        <v>1.0</v>
      </c>
      <c r="AM223" s="13">
        <v>304.0</v>
      </c>
      <c r="AN223" s="13">
        <v>206.0</v>
      </c>
      <c r="AO223" s="9">
        <f>(AH223*5)/100+(AI223*5)/100+(AJ223*5)/100+1/AN223</f>
        <v>1.054854369</v>
      </c>
      <c r="AP223" s="4" t="s">
        <v>701</v>
      </c>
    </row>
    <row r="224" ht="12.75" customHeight="1">
      <c r="A224" s="4" t="s">
        <v>657</v>
      </c>
      <c r="B224" s="4" t="s">
        <v>658</v>
      </c>
      <c r="C224" s="4" t="s">
        <v>44</v>
      </c>
      <c r="D224" s="4" t="s">
        <v>45</v>
      </c>
      <c r="E224" s="4" t="s">
        <v>124</v>
      </c>
      <c r="F224" s="4" t="s">
        <v>126</v>
      </c>
      <c r="G224" s="1"/>
      <c r="H224" s="4" t="s">
        <v>65</v>
      </c>
      <c r="I224" s="4" t="s">
        <v>1874</v>
      </c>
      <c r="J224" s="4">
        <v>20.0</v>
      </c>
      <c r="K224" s="4">
        <v>80.0</v>
      </c>
      <c r="L224" s="4">
        <v>1986.0</v>
      </c>
      <c r="M224" s="4">
        <v>3.0</v>
      </c>
      <c r="N224" s="4">
        <v>9.0</v>
      </c>
      <c r="O224" s="4">
        <v>2020.0</v>
      </c>
      <c r="P224" s="4" t="s">
        <v>214</v>
      </c>
      <c r="Q224" s="4" t="s">
        <v>51</v>
      </c>
      <c r="R224" s="4" t="s">
        <v>253</v>
      </c>
      <c r="S224" s="4" t="s">
        <v>256</v>
      </c>
      <c r="T224" s="4" t="s">
        <v>1710</v>
      </c>
      <c r="U224" s="4">
        <v>2020.0</v>
      </c>
      <c r="V224" s="1"/>
      <c r="W224" s="1"/>
      <c r="X224" s="4" t="s">
        <v>139</v>
      </c>
      <c r="Y224" s="4" t="s">
        <v>139</v>
      </c>
      <c r="Z224" s="4" t="s">
        <v>139</v>
      </c>
      <c r="AA224" s="4" t="s">
        <v>139</v>
      </c>
      <c r="AB224" s="4" t="s">
        <v>139</v>
      </c>
      <c r="AC224" s="4" t="s">
        <v>80</v>
      </c>
      <c r="AD224" s="11" t="s">
        <v>60</v>
      </c>
      <c r="AE224" s="11" t="s">
        <v>60</v>
      </c>
      <c r="AF224" s="11" t="s">
        <v>60</v>
      </c>
      <c r="AG224" s="4" t="s">
        <v>62</v>
      </c>
      <c r="AH224" s="4">
        <v>7.0</v>
      </c>
      <c r="AI224" s="4">
        <v>6.0</v>
      </c>
      <c r="AJ224" s="4">
        <v>6.0</v>
      </c>
      <c r="AK224" s="1">
        <f t="shared" si="1"/>
        <v>19</v>
      </c>
      <c r="AL224" s="1">
        <v>1.0</v>
      </c>
      <c r="AM224" s="4">
        <v>376.0</v>
      </c>
      <c r="AN224" s="1">
        <f t="shared" ref="AN224:AN456" si="5">AM224*AL224</f>
        <v>376</v>
      </c>
      <c r="AO224" s="1">
        <f t="shared" ref="AO224:AO387" si="6">(AH224*5)/100+(AI224*5)/100+(AJ224*5)/100+1/AN224</f>
        <v>0.9526595745</v>
      </c>
      <c r="AP224" s="4" t="s">
        <v>659</v>
      </c>
    </row>
    <row r="225" ht="12.75" customHeight="1">
      <c r="A225" s="1" t="s">
        <v>975</v>
      </c>
      <c r="B225" s="1" t="s">
        <v>976</v>
      </c>
      <c r="C225" s="4" t="s">
        <v>44</v>
      </c>
      <c r="D225" s="1" t="s">
        <v>99</v>
      </c>
      <c r="E225" s="1" t="s">
        <v>180</v>
      </c>
      <c r="F225" s="1" t="s">
        <v>183</v>
      </c>
      <c r="G225" s="1"/>
      <c r="H225" s="1" t="s">
        <v>65</v>
      </c>
      <c r="I225" s="1" t="s">
        <v>458</v>
      </c>
      <c r="J225" s="1">
        <v>21.0</v>
      </c>
      <c r="K225" s="1">
        <v>10.0</v>
      </c>
      <c r="L225" s="1">
        <v>2019.0</v>
      </c>
      <c r="M225" s="1">
        <v>2.0</v>
      </c>
      <c r="N225" s="1">
        <v>11.0</v>
      </c>
      <c r="O225" s="1">
        <v>2020.0</v>
      </c>
      <c r="P225" s="1" t="s">
        <v>105</v>
      </c>
      <c r="Q225" s="4" t="s">
        <v>51</v>
      </c>
      <c r="R225" s="1" t="s">
        <v>52</v>
      </c>
      <c r="S225" s="1" t="s">
        <v>270</v>
      </c>
      <c r="T225" s="4" t="s">
        <v>495</v>
      </c>
      <c r="U225" s="1">
        <v>2019.0</v>
      </c>
      <c r="V225" s="1"/>
      <c r="W225" s="1"/>
      <c r="X225" s="4" t="s">
        <v>55</v>
      </c>
      <c r="Y225" s="4" t="s">
        <v>99</v>
      </c>
      <c r="Z225" s="1" t="s">
        <v>183</v>
      </c>
      <c r="AA225" s="1" t="s">
        <v>1875</v>
      </c>
      <c r="AB225" s="1" t="s">
        <v>1876</v>
      </c>
      <c r="AC225" s="1" t="s">
        <v>261</v>
      </c>
      <c r="AD225" s="1" t="s">
        <v>1700</v>
      </c>
      <c r="AE225" s="1" t="s">
        <v>60</v>
      </c>
      <c r="AF225" s="1" t="s">
        <v>1687</v>
      </c>
      <c r="AG225" s="4" t="s">
        <v>62</v>
      </c>
      <c r="AH225" s="1">
        <v>7.0</v>
      </c>
      <c r="AI225" s="1">
        <v>7.0</v>
      </c>
      <c r="AJ225" s="1">
        <v>7.0</v>
      </c>
      <c r="AK225" s="1">
        <f t="shared" si="1"/>
        <v>21</v>
      </c>
      <c r="AL225" s="1">
        <v>1.0</v>
      </c>
      <c r="AM225" s="1">
        <v>222.0</v>
      </c>
      <c r="AN225" s="1">
        <f t="shared" si="5"/>
        <v>222</v>
      </c>
      <c r="AO225" s="1">
        <f t="shared" si="6"/>
        <v>1.054504505</v>
      </c>
      <c r="AP225" s="4" t="s">
        <v>977</v>
      </c>
    </row>
    <row r="226" ht="12.75" customHeight="1">
      <c r="A226" s="1" t="s">
        <v>847</v>
      </c>
      <c r="B226" s="1" t="s">
        <v>850</v>
      </c>
      <c r="C226" s="4" t="s">
        <v>44</v>
      </c>
      <c r="D226" s="1" t="s">
        <v>45</v>
      </c>
      <c r="E226" s="4" t="s">
        <v>124</v>
      </c>
      <c r="F226" s="1" t="s">
        <v>126</v>
      </c>
      <c r="G226" s="1"/>
      <c r="H226" s="1" t="s">
        <v>65</v>
      </c>
      <c r="I226" s="1" t="s">
        <v>421</v>
      </c>
      <c r="J226" s="1">
        <v>21.0</v>
      </c>
      <c r="K226" s="1">
        <v>0.0</v>
      </c>
      <c r="L226" s="1">
        <v>2008.0</v>
      </c>
      <c r="M226" s="1">
        <v>5.0</v>
      </c>
      <c r="N226" s="1">
        <v>12.0</v>
      </c>
      <c r="O226" s="1">
        <v>2020.0</v>
      </c>
      <c r="P226" s="1" t="s">
        <v>214</v>
      </c>
      <c r="Q226" s="4" t="s">
        <v>51</v>
      </c>
      <c r="R226" s="4" t="s">
        <v>253</v>
      </c>
      <c r="S226" s="1" t="s">
        <v>256</v>
      </c>
      <c r="T226" s="4" t="s">
        <v>106</v>
      </c>
      <c r="U226" s="1">
        <v>2008.0</v>
      </c>
      <c r="V226" s="1"/>
      <c r="W226" s="1"/>
      <c r="X226" s="4" t="s">
        <v>139</v>
      </c>
      <c r="Y226" s="1" t="s">
        <v>139</v>
      </c>
      <c r="Z226" s="1" t="s">
        <v>139</v>
      </c>
      <c r="AA226" s="1" t="s">
        <v>139</v>
      </c>
      <c r="AB226" s="1" t="s">
        <v>139</v>
      </c>
      <c r="AC226" s="1" t="s">
        <v>58</v>
      </c>
      <c r="AD226" s="1" t="s">
        <v>1877</v>
      </c>
      <c r="AE226" s="1" t="s">
        <v>60</v>
      </c>
      <c r="AF226" s="1" t="s">
        <v>60</v>
      </c>
      <c r="AG226" s="4" t="s">
        <v>62</v>
      </c>
      <c r="AH226" s="1">
        <v>8.0</v>
      </c>
      <c r="AI226" s="1">
        <v>6.0</v>
      </c>
      <c r="AJ226" s="1">
        <v>6.0</v>
      </c>
      <c r="AK226" s="1">
        <f t="shared" si="1"/>
        <v>20</v>
      </c>
      <c r="AL226" s="1">
        <v>1.0</v>
      </c>
      <c r="AM226" s="1">
        <v>789.0</v>
      </c>
      <c r="AN226" s="1">
        <f t="shared" si="5"/>
        <v>789</v>
      </c>
      <c r="AO226" s="1">
        <f t="shared" si="6"/>
        <v>1.001267427</v>
      </c>
      <c r="AP226" s="4" t="s">
        <v>851</v>
      </c>
    </row>
    <row r="227" ht="12.75" customHeight="1">
      <c r="A227" s="1" t="s">
        <v>979</v>
      </c>
      <c r="B227" s="1" t="s">
        <v>980</v>
      </c>
      <c r="C227" s="4" t="s">
        <v>44</v>
      </c>
      <c r="D227" s="1" t="s">
        <v>45</v>
      </c>
      <c r="E227" s="1" t="s">
        <v>46</v>
      </c>
      <c r="F227" s="1" t="s">
        <v>127</v>
      </c>
      <c r="G227" s="4" t="s">
        <v>1878</v>
      </c>
      <c r="H227" s="1" t="s">
        <v>65</v>
      </c>
      <c r="I227" s="1" t="s">
        <v>1879</v>
      </c>
      <c r="J227" s="1">
        <v>21.0</v>
      </c>
      <c r="K227" s="1">
        <v>10.0</v>
      </c>
      <c r="L227" s="1">
        <v>2012.0</v>
      </c>
      <c r="M227" s="1">
        <v>22.0</v>
      </c>
      <c r="N227" s="1">
        <v>12.0</v>
      </c>
      <c r="O227" s="1">
        <v>2020.0</v>
      </c>
      <c r="P227" s="1" t="s">
        <v>105</v>
      </c>
      <c r="Q227" s="4" t="s">
        <v>51</v>
      </c>
      <c r="R227" s="1" t="s">
        <v>52</v>
      </c>
      <c r="S227" s="1" t="s">
        <v>270</v>
      </c>
      <c r="T227" s="4" t="s">
        <v>1880</v>
      </c>
      <c r="U227" s="4">
        <v>1987.0</v>
      </c>
      <c r="V227" s="1"/>
      <c r="W227" s="1"/>
      <c r="X227" s="4" t="s">
        <v>55</v>
      </c>
      <c r="Y227" s="4" t="s">
        <v>45</v>
      </c>
      <c r="Z227" s="1" t="s">
        <v>127</v>
      </c>
      <c r="AA227" s="1" t="s">
        <v>1825</v>
      </c>
      <c r="AB227" s="1" t="s">
        <v>1825</v>
      </c>
      <c r="AC227" s="1" t="s">
        <v>92</v>
      </c>
      <c r="AD227" s="1" t="s">
        <v>1881</v>
      </c>
      <c r="AE227" s="1" t="s">
        <v>60</v>
      </c>
      <c r="AF227" s="1" t="s">
        <v>1687</v>
      </c>
      <c r="AG227" s="4" t="s">
        <v>62</v>
      </c>
      <c r="AH227" s="1">
        <v>8.0</v>
      </c>
      <c r="AI227" s="1">
        <v>7.0</v>
      </c>
      <c r="AJ227" s="1">
        <v>8.0</v>
      </c>
      <c r="AK227" s="1">
        <f t="shared" si="1"/>
        <v>23</v>
      </c>
      <c r="AL227" s="1">
        <v>1.0</v>
      </c>
      <c r="AM227" s="1">
        <v>448.0</v>
      </c>
      <c r="AN227" s="1">
        <f t="shared" si="5"/>
        <v>448</v>
      </c>
      <c r="AO227" s="1">
        <f t="shared" si="6"/>
        <v>1.152232143</v>
      </c>
      <c r="AP227" s="4" t="s">
        <v>981</v>
      </c>
    </row>
    <row r="228" ht="12.75" customHeight="1">
      <c r="A228" s="1" t="s">
        <v>705</v>
      </c>
      <c r="B228" s="1" t="s">
        <v>706</v>
      </c>
      <c r="C228" s="4" t="s">
        <v>44</v>
      </c>
      <c r="D228" s="1" t="s">
        <v>45</v>
      </c>
      <c r="E228" s="1" t="s">
        <v>46</v>
      </c>
      <c r="F228" s="1" t="s">
        <v>129</v>
      </c>
      <c r="G228" s="1"/>
      <c r="H228" s="1" t="s">
        <v>65</v>
      </c>
      <c r="I228" s="1" t="s">
        <v>428</v>
      </c>
      <c r="J228" s="1">
        <v>21.0</v>
      </c>
      <c r="K228" s="1">
        <v>10.0</v>
      </c>
      <c r="L228" s="1">
        <v>2011.0</v>
      </c>
      <c r="M228" s="1">
        <v>28.0</v>
      </c>
      <c r="N228" s="1">
        <v>12.0</v>
      </c>
      <c r="O228" s="1">
        <v>2020.0</v>
      </c>
      <c r="P228" s="1" t="s">
        <v>105</v>
      </c>
      <c r="Q228" s="4" t="s">
        <v>51</v>
      </c>
      <c r="R228" s="1" t="s">
        <v>52</v>
      </c>
      <c r="S228" s="1" t="s">
        <v>298</v>
      </c>
      <c r="T228" s="4" t="s">
        <v>1882</v>
      </c>
      <c r="U228" s="1">
        <v>1980.0</v>
      </c>
      <c r="V228" s="1"/>
      <c r="W228" s="1"/>
      <c r="X228" s="4" t="s">
        <v>55</v>
      </c>
      <c r="Y228" s="4" t="s">
        <v>45</v>
      </c>
      <c r="Z228" s="1" t="s">
        <v>129</v>
      </c>
      <c r="AA228" s="1" t="s">
        <v>1883</v>
      </c>
      <c r="AB228" s="1" t="s">
        <v>478</v>
      </c>
      <c r="AC228" s="1" t="s">
        <v>1781</v>
      </c>
      <c r="AD228" s="1" t="s">
        <v>1740</v>
      </c>
      <c r="AE228" s="1" t="s">
        <v>60</v>
      </c>
      <c r="AF228" s="1" t="s">
        <v>1687</v>
      </c>
      <c r="AG228" s="4" t="s">
        <v>62</v>
      </c>
      <c r="AH228" s="1">
        <v>9.0</v>
      </c>
      <c r="AI228" s="1">
        <v>8.0</v>
      </c>
      <c r="AJ228" s="1">
        <v>7.0</v>
      </c>
      <c r="AK228" s="1">
        <f t="shared" si="1"/>
        <v>24</v>
      </c>
      <c r="AL228" s="1">
        <v>1.0</v>
      </c>
      <c r="AM228" s="1">
        <v>224.0</v>
      </c>
      <c r="AN228" s="1">
        <f t="shared" si="5"/>
        <v>224</v>
      </c>
      <c r="AO228" s="1">
        <f t="shared" si="6"/>
        <v>1.204464286</v>
      </c>
      <c r="AP228" s="4" t="s">
        <v>707</v>
      </c>
    </row>
    <row r="229" ht="12.75" customHeight="1">
      <c r="A229" s="1" t="s">
        <v>1615</v>
      </c>
      <c r="B229" s="1" t="s">
        <v>1616</v>
      </c>
      <c r="C229" s="4" t="s">
        <v>44</v>
      </c>
      <c r="D229" s="1" t="s">
        <v>99</v>
      </c>
      <c r="E229" s="1" t="s">
        <v>100</v>
      </c>
      <c r="F229" s="1" t="s">
        <v>101</v>
      </c>
      <c r="G229" s="4" t="s">
        <v>1884</v>
      </c>
      <c r="H229" s="1" t="s">
        <v>65</v>
      </c>
      <c r="I229" s="1" t="s">
        <v>458</v>
      </c>
      <c r="J229" s="1">
        <v>16.0</v>
      </c>
      <c r="K229" s="1">
        <v>90.0</v>
      </c>
      <c r="L229" s="4">
        <v>1595.0</v>
      </c>
      <c r="M229" s="1"/>
      <c r="N229" s="1"/>
      <c r="O229" s="1">
        <v>2020.0</v>
      </c>
      <c r="P229" s="1" t="s">
        <v>105</v>
      </c>
      <c r="Q229" s="4" t="s">
        <v>51</v>
      </c>
      <c r="R229" s="1" t="s">
        <v>274</v>
      </c>
      <c r="S229" s="1" t="s">
        <v>275</v>
      </c>
      <c r="T229" s="4" t="s">
        <v>1672</v>
      </c>
      <c r="U229" s="4">
        <v>-500.0</v>
      </c>
      <c r="V229" s="1"/>
      <c r="W229" s="1"/>
      <c r="X229" s="4" t="s">
        <v>55</v>
      </c>
      <c r="Y229" s="4" t="s">
        <v>99</v>
      </c>
      <c r="Z229" s="1" t="s">
        <v>176</v>
      </c>
      <c r="AA229" s="1" t="s">
        <v>1885</v>
      </c>
      <c r="AB229" s="1" t="s">
        <v>1885</v>
      </c>
      <c r="AC229" s="1" t="s">
        <v>261</v>
      </c>
      <c r="AD229" s="1" t="s">
        <v>1886</v>
      </c>
      <c r="AE229" s="1" t="s">
        <v>259</v>
      </c>
      <c r="AF229" s="1" t="s">
        <v>1687</v>
      </c>
      <c r="AG229" s="4" t="s">
        <v>62</v>
      </c>
      <c r="AH229" s="1">
        <v>9.0</v>
      </c>
      <c r="AI229" s="1">
        <v>8.0</v>
      </c>
      <c r="AJ229" s="1">
        <v>7.0</v>
      </c>
      <c r="AK229" s="1">
        <f t="shared" si="1"/>
        <v>24</v>
      </c>
      <c r="AL229" s="1">
        <v>1.0</v>
      </c>
      <c r="AM229" s="1">
        <v>126.0</v>
      </c>
      <c r="AN229" s="1">
        <f t="shared" si="5"/>
        <v>126</v>
      </c>
      <c r="AO229" s="1">
        <f t="shared" si="6"/>
        <v>1.207936508</v>
      </c>
      <c r="AP229" s="4" t="s">
        <v>1617</v>
      </c>
    </row>
    <row r="230" ht="12.75" customHeight="1">
      <c r="A230" s="1" t="s">
        <v>1053</v>
      </c>
      <c r="B230" s="1" t="s">
        <v>1054</v>
      </c>
      <c r="C230" s="4" t="s">
        <v>44</v>
      </c>
      <c r="D230" s="1" t="s">
        <v>99</v>
      </c>
      <c r="E230" s="1" t="s">
        <v>100</v>
      </c>
      <c r="F230" s="1" t="s">
        <v>101</v>
      </c>
      <c r="G230" s="1"/>
      <c r="H230" s="1" t="s">
        <v>48</v>
      </c>
      <c r="I230" s="1" t="s">
        <v>458</v>
      </c>
      <c r="J230" s="1">
        <v>18.0</v>
      </c>
      <c r="K230" s="1">
        <v>90.0</v>
      </c>
      <c r="L230" s="1">
        <v>1790.0</v>
      </c>
      <c r="M230" s="1"/>
      <c r="N230" s="1"/>
      <c r="O230" s="1">
        <v>2020.0</v>
      </c>
      <c r="P230" s="1" t="s">
        <v>105</v>
      </c>
      <c r="Q230" s="4" t="s">
        <v>51</v>
      </c>
      <c r="R230" s="1" t="s">
        <v>52</v>
      </c>
      <c r="S230" s="1" t="s">
        <v>224</v>
      </c>
      <c r="T230" s="4" t="s">
        <v>1034</v>
      </c>
      <c r="U230" s="1">
        <v>1790.0</v>
      </c>
      <c r="V230" s="1"/>
      <c r="W230" s="1"/>
      <c r="X230" s="4" t="s">
        <v>55</v>
      </c>
      <c r="Y230" s="4" t="s">
        <v>99</v>
      </c>
      <c r="Z230" s="4" t="s">
        <v>101</v>
      </c>
      <c r="AA230" s="4" t="s">
        <v>1887</v>
      </c>
      <c r="AB230" s="4" t="s">
        <v>1887</v>
      </c>
      <c r="AC230" s="1" t="s">
        <v>69</v>
      </c>
      <c r="AD230" s="1" t="s">
        <v>1657</v>
      </c>
      <c r="AE230" s="1" t="s">
        <v>60</v>
      </c>
      <c r="AF230" s="1" t="s">
        <v>1687</v>
      </c>
      <c r="AG230" s="4" t="s">
        <v>62</v>
      </c>
      <c r="AH230" s="1">
        <v>8.0</v>
      </c>
      <c r="AI230" s="1">
        <v>8.0</v>
      </c>
      <c r="AJ230" s="1">
        <v>8.0</v>
      </c>
      <c r="AK230" s="1">
        <f t="shared" si="1"/>
        <v>24</v>
      </c>
      <c r="AL230" s="1">
        <v>1.0</v>
      </c>
      <c r="AM230" s="1">
        <v>124.0</v>
      </c>
      <c r="AN230" s="1">
        <f t="shared" si="5"/>
        <v>124</v>
      </c>
      <c r="AO230" s="1">
        <f t="shared" si="6"/>
        <v>1.208064516</v>
      </c>
      <c r="AP230" s="4" t="s">
        <v>1055</v>
      </c>
    </row>
    <row r="231" ht="12.75" customHeight="1">
      <c r="A231" s="1" t="s">
        <v>1196</v>
      </c>
      <c r="B231" s="1" t="s">
        <v>1197</v>
      </c>
      <c r="C231" s="4" t="s">
        <v>44</v>
      </c>
      <c r="D231" s="1" t="s">
        <v>99</v>
      </c>
      <c r="E231" s="1" t="s">
        <v>100</v>
      </c>
      <c r="F231" s="1" t="s">
        <v>101</v>
      </c>
      <c r="G231" s="1"/>
      <c r="H231" s="1" t="s">
        <v>65</v>
      </c>
      <c r="I231" s="1" t="s">
        <v>458</v>
      </c>
      <c r="J231" s="1">
        <v>19.0</v>
      </c>
      <c r="K231" s="1">
        <v>60.0</v>
      </c>
      <c r="L231" s="1">
        <v>1865.0</v>
      </c>
      <c r="M231" s="1"/>
      <c r="N231" s="1"/>
      <c r="O231" s="1">
        <v>2020.0</v>
      </c>
      <c r="P231" s="1" t="s">
        <v>105</v>
      </c>
      <c r="Q231" s="4" t="s">
        <v>51</v>
      </c>
      <c r="R231" s="1" t="s">
        <v>52</v>
      </c>
      <c r="S231" s="1" t="s">
        <v>53</v>
      </c>
      <c r="T231" s="1" t="s">
        <v>1640</v>
      </c>
      <c r="U231" s="1">
        <v>1865.0</v>
      </c>
      <c r="V231" s="1"/>
      <c r="W231" s="1"/>
      <c r="X231" s="4" t="s">
        <v>30</v>
      </c>
      <c r="Y231" s="4" t="s">
        <v>30</v>
      </c>
      <c r="Z231" s="1" t="s">
        <v>1888</v>
      </c>
      <c r="AA231" s="1" t="s">
        <v>1888</v>
      </c>
      <c r="AB231" s="1" t="s">
        <v>1888</v>
      </c>
      <c r="AC231" s="1" t="s">
        <v>69</v>
      </c>
      <c r="AD231" s="1" t="s">
        <v>1889</v>
      </c>
      <c r="AE231" s="1" t="s">
        <v>1888</v>
      </c>
      <c r="AF231" s="1" t="s">
        <v>1687</v>
      </c>
      <c r="AG231" s="4" t="s">
        <v>62</v>
      </c>
      <c r="AH231" s="1">
        <v>9.0</v>
      </c>
      <c r="AI231" s="1">
        <v>9.0</v>
      </c>
      <c r="AJ231" s="1">
        <v>9.0</v>
      </c>
      <c r="AK231" s="1">
        <f t="shared" si="1"/>
        <v>27</v>
      </c>
      <c r="AL231" s="1">
        <v>1.0</v>
      </c>
      <c r="AM231" s="1">
        <v>160.0</v>
      </c>
      <c r="AN231" s="1">
        <f t="shared" si="5"/>
        <v>160</v>
      </c>
      <c r="AO231" s="1">
        <f t="shared" si="6"/>
        <v>1.35625</v>
      </c>
      <c r="AP231" s="4" t="s">
        <v>1198</v>
      </c>
    </row>
    <row r="232" ht="12.75" customHeight="1">
      <c r="A232" s="1" t="s">
        <v>419</v>
      </c>
      <c r="B232" s="1" t="s">
        <v>1228</v>
      </c>
      <c r="C232" s="4" t="s">
        <v>44</v>
      </c>
      <c r="D232" s="1" t="s">
        <v>45</v>
      </c>
      <c r="E232" s="1" t="s">
        <v>46</v>
      </c>
      <c r="F232" s="1" t="s">
        <v>47</v>
      </c>
      <c r="G232" s="1" t="s">
        <v>1228</v>
      </c>
      <c r="H232" s="1" t="s">
        <v>65</v>
      </c>
      <c r="I232" s="1" t="s">
        <v>593</v>
      </c>
      <c r="J232" s="1">
        <v>19.0</v>
      </c>
      <c r="K232" s="1">
        <v>80.0</v>
      </c>
      <c r="L232" s="1">
        <v>1882.0</v>
      </c>
      <c r="M232" s="1"/>
      <c r="N232" s="1"/>
      <c r="O232" s="1">
        <v>2020.0</v>
      </c>
      <c r="P232" s="1" t="s">
        <v>105</v>
      </c>
      <c r="Q232" s="4" t="s">
        <v>51</v>
      </c>
      <c r="R232" s="1" t="s">
        <v>266</v>
      </c>
      <c r="S232" s="1" t="s">
        <v>269</v>
      </c>
      <c r="T232" s="4" t="s">
        <v>395</v>
      </c>
      <c r="U232" s="1">
        <v>1882.0</v>
      </c>
      <c r="V232" s="1"/>
      <c r="W232" s="1"/>
      <c r="X232" s="4" t="s">
        <v>55</v>
      </c>
      <c r="Y232" s="4" t="s">
        <v>45</v>
      </c>
      <c r="Z232" s="1" t="s">
        <v>47</v>
      </c>
      <c r="AA232" s="4" t="s">
        <v>226</v>
      </c>
      <c r="AB232" s="1" t="s">
        <v>1890</v>
      </c>
      <c r="AC232" s="1" t="s">
        <v>69</v>
      </c>
      <c r="AD232" s="1" t="s">
        <v>1772</v>
      </c>
      <c r="AE232" s="1" t="s">
        <v>60</v>
      </c>
      <c r="AF232" s="1" t="s">
        <v>1687</v>
      </c>
      <c r="AG232" s="4" t="s">
        <v>62</v>
      </c>
      <c r="AH232" s="1">
        <v>8.0</v>
      </c>
      <c r="AI232" s="1">
        <v>7.0</v>
      </c>
      <c r="AJ232" s="1">
        <v>9.0</v>
      </c>
      <c r="AK232" s="1">
        <f t="shared" si="1"/>
        <v>24</v>
      </c>
      <c r="AL232" s="1">
        <v>1.0</v>
      </c>
      <c r="AM232" s="1">
        <v>79.0</v>
      </c>
      <c r="AN232" s="1">
        <f t="shared" si="5"/>
        <v>79</v>
      </c>
      <c r="AO232" s="1">
        <f t="shared" si="6"/>
        <v>1.212658228</v>
      </c>
      <c r="AP232" s="4" t="s">
        <v>1229</v>
      </c>
    </row>
    <row r="233" ht="12.75" customHeight="1">
      <c r="A233" s="1" t="s">
        <v>945</v>
      </c>
      <c r="B233" s="1" t="s">
        <v>946</v>
      </c>
      <c r="C233" s="4" t="s">
        <v>44</v>
      </c>
      <c r="D233" s="1" t="s">
        <v>99</v>
      </c>
      <c r="E233" s="1" t="s">
        <v>180</v>
      </c>
      <c r="F233" s="1" t="s">
        <v>181</v>
      </c>
      <c r="G233" s="1"/>
      <c r="H233" s="1" t="s">
        <v>65</v>
      </c>
      <c r="I233" s="1" t="s">
        <v>1891</v>
      </c>
      <c r="J233" s="1">
        <v>19.0</v>
      </c>
      <c r="K233" s="1">
        <v>90.0</v>
      </c>
      <c r="L233" s="1">
        <v>1895.0</v>
      </c>
      <c r="M233" s="1"/>
      <c r="N233" s="1"/>
      <c r="O233" s="1">
        <v>2020.0</v>
      </c>
      <c r="P233" s="1" t="s">
        <v>105</v>
      </c>
      <c r="Q233" s="4" t="s">
        <v>51</v>
      </c>
      <c r="R233" s="1" t="s">
        <v>303</v>
      </c>
      <c r="S233" s="1" t="s">
        <v>304</v>
      </c>
      <c r="T233" s="4" t="s">
        <v>1892</v>
      </c>
      <c r="U233" s="1">
        <v>1888.0</v>
      </c>
      <c r="V233" s="1"/>
      <c r="W233" s="1"/>
      <c r="X233" s="4" t="s">
        <v>55</v>
      </c>
      <c r="Y233" s="4" t="s">
        <v>99</v>
      </c>
      <c r="Z233" s="1" t="s">
        <v>181</v>
      </c>
      <c r="AA233" s="1" t="s">
        <v>1893</v>
      </c>
      <c r="AB233" s="4" t="s">
        <v>1894</v>
      </c>
      <c r="AC233" s="1" t="s">
        <v>261</v>
      </c>
      <c r="AD233" s="1" t="s">
        <v>580</v>
      </c>
      <c r="AE233" s="1" t="s">
        <v>60</v>
      </c>
      <c r="AF233" s="1" t="s">
        <v>1687</v>
      </c>
      <c r="AG233" s="4" t="s">
        <v>62</v>
      </c>
      <c r="AH233" s="1">
        <v>7.0</v>
      </c>
      <c r="AI233" s="1">
        <v>7.0</v>
      </c>
      <c r="AJ233" s="1">
        <v>7.0</v>
      </c>
      <c r="AK233" s="1">
        <f t="shared" si="1"/>
        <v>21</v>
      </c>
      <c r="AL233" s="1">
        <v>1.0</v>
      </c>
      <c r="AM233" s="1">
        <v>96.0</v>
      </c>
      <c r="AN233" s="1">
        <f t="shared" si="5"/>
        <v>96</v>
      </c>
      <c r="AO233" s="1">
        <f t="shared" si="6"/>
        <v>1.060416667</v>
      </c>
      <c r="AP233" s="4" t="s">
        <v>947</v>
      </c>
    </row>
    <row r="234" ht="12.75" customHeight="1">
      <c r="A234" s="1" t="s">
        <v>1334</v>
      </c>
      <c r="B234" s="1" t="s">
        <v>1335</v>
      </c>
      <c r="C234" s="4" t="s">
        <v>44</v>
      </c>
      <c r="D234" s="1" t="s">
        <v>99</v>
      </c>
      <c r="E234" s="1" t="s">
        <v>173</v>
      </c>
      <c r="F234" s="1" t="s">
        <v>178</v>
      </c>
      <c r="G234" s="4" t="s">
        <v>1895</v>
      </c>
      <c r="H234" s="1" t="s">
        <v>48</v>
      </c>
      <c r="I234" s="1" t="s">
        <v>421</v>
      </c>
      <c r="J234" s="1">
        <v>20.0</v>
      </c>
      <c r="K234" s="1">
        <v>50.0</v>
      </c>
      <c r="L234" s="1">
        <v>1952.0</v>
      </c>
      <c r="M234" s="1"/>
      <c r="N234" s="1"/>
      <c r="O234" s="1">
        <v>2020.0</v>
      </c>
      <c r="P234" s="1" t="s">
        <v>105</v>
      </c>
      <c r="Q234" s="4" t="s">
        <v>51</v>
      </c>
      <c r="R234" s="1" t="s">
        <v>52</v>
      </c>
      <c r="S234" s="1" t="s">
        <v>244</v>
      </c>
      <c r="T234" s="1" t="s">
        <v>583</v>
      </c>
      <c r="U234" s="1">
        <v>1945.0</v>
      </c>
      <c r="V234" s="1"/>
      <c r="W234" s="1"/>
      <c r="X234" s="4" t="s">
        <v>55</v>
      </c>
      <c r="Y234" s="4" t="s">
        <v>99</v>
      </c>
      <c r="Z234" s="1" t="s">
        <v>178</v>
      </c>
      <c r="AA234" s="4" t="s">
        <v>1896</v>
      </c>
      <c r="AB234" s="4" t="s">
        <v>1897</v>
      </c>
      <c r="AC234" s="1" t="s">
        <v>1781</v>
      </c>
      <c r="AD234" s="1" t="s">
        <v>1898</v>
      </c>
      <c r="AE234" s="1" t="s">
        <v>60</v>
      </c>
      <c r="AF234" s="1" t="s">
        <v>1687</v>
      </c>
      <c r="AG234" s="4" t="s">
        <v>62</v>
      </c>
      <c r="AH234" s="1">
        <v>9.0</v>
      </c>
      <c r="AI234" s="1">
        <v>8.0</v>
      </c>
      <c r="AJ234" s="1">
        <v>9.0</v>
      </c>
      <c r="AK234" s="1">
        <f t="shared" si="1"/>
        <v>26</v>
      </c>
      <c r="AL234" s="1">
        <v>1.0</v>
      </c>
      <c r="AM234" s="1">
        <v>327.0</v>
      </c>
      <c r="AN234" s="1">
        <f t="shared" si="5"/>
        <v>327</v>
      </c>
      <c r="AO234" s="1">
        <f t="shared" si="6"/>
        <v>1.303058104</v>
      </c>
      <c r="AP234" s="4" t="s">
        <v>1336</v>
      </c>
    </row>
    <row r="235" ht="12.75" customHeight="1">
      <c r="A235" s="1" t="s">
        <v>927</v>
      </c>
      <c r="B235" s="1" t="s">
        <v>928</v>
      </c>
      <c r="C235" s="4" t="s">
        <v>44</v>
      </c>
      <c r="D235" s="1" t="s">
        <v>45</v>
      </c>
      <c r="E235" s="4" t="s">
        <v>124</v>
      </c>
      <c r="F235" s="1" t="s">
        <v>126</v>
      </c>
      <c r="G235" s="1"/>
      <c r="H235" s="1" t="s">
        <v>48</v>
      </c>
      <c r="I235" s="1" t="s">
        <v>382</v>
      </c>
      <c r="J235" s="1">
        <v>20.0</v>
      </c>
      <c r="K235" s="1">
        <v>50.0</v>
      </c>
      <c r="L235" s="1">
        <v>1955.0</v>
      </c>
      <c r="M235" s="1"/>
      <c r="N235" s="1"/>
      <c r="O235" s="1">
        <v>2020.0</v>
      </c>
      <c r="P235" s="1" t="s">
        <v>105</v>
      </c>
      <c r="Q235" s="4" t="s">
        <v>51</v>
      </c>
      <c r="R235" s="1" t="s">
        <v>266</v>
      </c>
      <c r="S235" s="1" t="s">
        <v>268</v>
      </c>
      <c r="T235" s="4" t="s">
        <v>526</v>
      </c>
      <c r="U235" s="1">
        <v>1955.0</v>
      </c>
      <c r="V235" s="1"/>
      <c r="W235" s="1"/>
      <c r="X235" s="4" t="s">
        <v>55</v>
      </c>
      <c r="Y235" s="4" t="s">
        <v>45</v>
      </c>
      <c r="Z235" s="1" t="s">
        <v>126</v>
      </c>
      <c r="AA235" s="1" t="s">
        <v>1799</v>
      </c>
      <c r="AB235" s="1" t="s">
        <v>1799</v>
      </c>
      <c r="AC235" s="1" t="s">
        <v>69</v>
      </c>
      <c r="AD235" s="1" t="s">
        <v>425</v>
      </c>
      <c r="AE235" s="1" t="s">
        <v>60</v>
      </c>
      <c r="AF235" s="1" t="s">
        <v>1687</v>
      </c>
      <c r="AG235" s="4" t="s">
        <v>62</v>
      </c>
      <c r="AH235" s="1">
        <v>8.0</v>
      </c>
      <c r="AI235" s="1">
        <v>9.0</v>
      </c>
      <c r="AJ235" s="1">
        <v>7.0</v>
      </c>
      <c r="AK235" s="1">
        <f t="shared" si="1"/>
        <v>24</v>
      </c>
      <c r="AL235" s="1">
        <v>1.0</v>
      </c>
      <c r="AM235" s="1">
        <v>288.0</v>
      </c>
      <c r="AN235" s="1">
        <f t="shared" si="5"/>
        <v>288</v>
      </c>
      <c r="AO235" s="1">
        <f t="shared" si="6"/>
        <v>1.203472222</v>
      </c>
      <c r="AP235" s="4" t="s">
        <v>929</v>
      </c>
    </row>
    <row r="236" ht="12.75" customHeight="1">
      <c r="A236" s="1" t="s">
        <v>660</v>
      </c>
      <c r="B236" s="1" t="s">
        <v>661</v>
      </c>
      <c r="C236" s="4" t="s">
        <v>44</v>
      </c>
      <c r="D236" s="1" t="s">
        <v>45</v>
      </c>
      <c r="E236" s="4" t="s">
        <v>124</v>
      </c>
      <c r="F236" s="1" t="s">
        <v>126</v>
      </c>
      <c r="G236" s="1"/>
      <c r="H236" s="1" t="s">
        <v>48</v>
      </c>
      <c r="I236" s="1" t="s">
        <v>1776</v>
      </c>
      <c r="J236" s="1">
        <v>20.0</v>
      </c>
      <c r="K236" s="1">
        <v>70.0</v>
      </c>
      <c r="L236" s="1">
        <v>1970.0</v>
      </c>
      <c r="M236" s="1"/>
      <c r="N236" s="1"/>
      <c r="O236" s="1">
        <v>2020.0</v>
      </c>
      <c r="P236" s="1" t="s">
        <v>105</v>
      </c>
      <c r="Q236" s="4" t="s">
        <v>51</v>
      </c>
      <c r="R236" s="1" t="s">
        <v>52</v>
      </c>
      <c r="S236" s="1" t="s">
        <v>268</v>
      </c>
      <c r="T236" s="4" t="s">
        <v>1845</v>
      </c>
      <c r="U236" s="1">
        <v>1950.0</v>
      </c>
      <c r="V236" s="1"/>
      <c r="W236" s="1"/>
      <c r="X236" s="4" t="s">
        <v>55</v>
      </c>
      <c r="Y236" s="4" t="s">
        <v>45</v>
      </c>
      <c r="Z236" s="1" t="s">
        <v>126</v>
      </c>
      <c r="AA236" s="1" t="s">
        <v>1799</v>
      </c>
      <c r="AB236" s="1" t="s">
        <v>1799</v>
      </c>
      <c r="AC236" s="1" t="s">
        <v>542</v>
      </c>
      <c r="AD236" s="1" t="s">
        <v>1726</v>
      </c>
      <c r="AE236" s="1" t="s">
        <v>60</v>
      </c>
      <c r="AF236" s="1" t="s">
        <v>1687</v>
      </c>
      <c r="AG236" s="4" t="s">
        <v>62</v>
      </c>
      <c r="AH236" s="1">
        <v>9.0</v>
      </c>
      <c r="AI236" s="1">
        <v>9.0</v>
      </c>
      <c r="AJ236" s="1">
        <v>9.0</v>
      </c>
      <c r="AK236" s="1">
        <f t="shared" si="1"/>
        <v>27</v>
      </c>
      <c r="AL236" s="1">
        <v>1.0</v>
      </c>
      <c r="AM236" s="1">
        <v>320.0</v>
      </c>
      <c r="AN236" s="1">
        <f t="shared" si="5"/>
        <v>320</v>
      </c>
      <c r="AO236" s="1">
        <f t="shared" si="6"/>
        <v>1.353125</v>
      </c>
      <c r="AP236" s="4" t="s">
        <v>662</v>
      </c>
    </row>
    <row r="237" ht="12.75" customHeight="1">
      <c r="A237" s="1" t="s">
        <v>419</v>
      </c>
      <c r="B237" s="1" t="s">
        <v>1224</v>
      </c>
      <c r="C237" s="4" t="s">
        <v>44</v>
      </c>
      <c r="D237" s="1" t="s">
        <v>45</v>
      </c>
      <c r="E237" s="1" t="s">
        <v>46</v>
      </c>
      <c r="F237" s="1" t="s">
        <v>47</v>
      </c>
      <c r="G237" s="1" t="s">
        <v>1224</v>
      </c>
      <c r="H237" s="1" t="s">
        <v>65</v>
      </c>
      <c r="I237" s="1" t="s">
        <v>458</v>
      </c>
      <c r="J237" s="1">
        <v>19.0</v>
      </c>
      <c r="K237" s="1">
        <v>70.0</v>
      </c>
      <c r="L237" s="1">
        <v>1874.0</v>
      </c>
      <c r="M237" s="1"/>
      <c r="N237" s="1"/>
      <c r="O237" s="1">
        <v>2020.0</v>
      </c>
      <c r="P237" s="1" t="s">
        <v>105</v>
      </c>
      <c r="Q237" s="4" t="s">
        <v>51</v>
      </c>
      <c r="R237" s="1" t="s">
        <v>52</v>
      </c>
      <c r="S237" s="1" t="s">
        <v>224</v>
      </c>
      <c r="T237" s="4" t="s">
        <v>395</v>
      </c>
      <c r="U237" s="1">
        <v>1874.0</v>
      </c>
      <c r="V237" s="1"/>
      <c r="W237" s="1"/>
      <c r="X237" s="4" t="s">
        <v>55</v>
      </c>
      <c r="Y237" s="4" t="s">
        <v>45</v>
      </c>
      <c r="Z237" s="1" t="s">
        <v>47</v>
      </c>
      <c r="AA237" s="1" t="s">
        <v>226</v>
      </c>
      <c r="AB237" s="1" t="s">
        <v>240</v>
      </c>
      <c r="AC237" s="1" t="s">
        <v>92</v>
      </c>
      <c r="AD237" s="1" t="s">
        <v>1657</v>
      </c>
      <c r="AE237" s="1" t="s">
        <v>60</v>
      </c>
      <c r="AF237" s="1" t="s">
        <v>1687</v>
      </c>
      <c r="AG237" s="4" t="s">
        <v>62</v>
      </c>
      <c r="AH237" s="1">
        <v>7.0</v>
      </c>
      <c r="AI237" s="1">
        <v>7.0</v>
      </c>
      <c r="AJ237" s="1">
        <v>8.0</v>
      </c>
      <c r="AK237" s="1">
        <f t="shared" si="1"/>
        <v>22</v>
      </c>
      <c r="AL237" s="1">
        <v>1.0</v>
      </c>
      <c r="AM237" s="1">
        <v>175.0</v>
      </c>
      <c r="AN237" s="1">
        <f t="shared" si="5"/>
        <v>175</v>
      </c>
      <c r="AO237" s="1">
        <f t="shared" si="6"/>
        <v>1.105714286</v>
      </c>
      <c r="AP237" s="4" t="s">
        <v>1226</v>
      </c>
    </row>
    <row r="238" ht="12.75" customHeight="1">
      <c r="A238" s="1" t="s">
        <v>1496</v>
      </c>
      <c r="B238" s="1" t="s">
        <v>1497</v>
      </c>
      <c r="C238" s="4" t="s">
        <v>44</v>
      </c>
      <c r="D238" s="1" t="s">
        <v>99</v>
      </c>
      <c r="E238" s="1" t="s">
        <v>180</v>
      </c>
      <c r="F238" s="1" t="s">
        <v>182</v>
      </c>
      <c r="G238" s="4" t="s">
        <v>1899</v>
      </c>
      <c r="H238" s="1" t="s">
        <v>65</v>
      </c>
      <c r="I238" s="1" t="s">
        <v>421</v>
      </c>
      <c r="J238" s="1">
        <v>20.0</v>
      </c>
      <c r="K238" s="1">
        <v>80.0</v>
      </c>
      <c r="L238" s="4">
        <v>1982.0</v>
      </c>
      <c r="M238" s="1"/>
      <c r="N238" s="1"/>
      <c r="O238" s="1">
        <v>2020.0</v>
      </c>
      <c r="P238" s="1" t="s">
        <v>105</v>
      </c>
      <c r="Q238" s="4" t="s">
        <v>51</v>
      </c>
      <c r="R238" s="1" t="s">
        <v>52</v>
      </c>
      <c r="S238" s="1" t="s">
        <v>244</v>
      </c>
      <c r="T238" s="1" t="s">
        <v>1766</v>
      </c>
      <c r="U238" s="4">
        <v>1920.0</v>
      </c>
      <c r="V238" s="1"/>
      <c r="W238" s="1"/>
      <c r="X238" s="4" t="s">
        <v>55</v>
      </c>
      <c r="Y238" s="4" t="s">
        <v>99</v>
      </c>
      <c r="Z238" s="4" t="s">
        <v>186</v>
      </c>
      <c r="AA238" s="4" t="s">
        <v>1900</v>
      </c>
      <c r="AB238" s="4" t="s">
        <v>1900</v>
      </c>
      <c r="AC238" s="1" t="s">
        <v>92</v>
      </c>
      <c r="AD238" s="1" t="s">
        <v>241</v>
      </c>
      <c r="AE238" s="1" t="s">
        <v>1901</v>
      </c>
      <c r="AF238" s="1" t="s">
        <v>1687</v>
      </c>
      <c r="AG238" s="4" t="s">
        <v>62</v>
      </c>
      <c r="AH238" s="1">
        <v>8.0</v>
      </c>
      <c r="AI238" s="1">
        <v>8.0</v>
      </c>
      <c r="AJ238" s="1">
        <v>7.0</v>
      </c>
      <c r="AK238" s="1">
        <f t="shared" si="1"/>
        <v>23</v>
      </c>
      <c r="AL238" s="1">
        <v>1.0</v>
      </c>
      <c r="AM238" s="1">
        <v>280.0</v>
      </c>
      <c r="AN238" s="1">
        <f t="shared" si="5"/>
        <v>280</v>
      </c>
      <c r="AO238" s="1">
        <f t="shared" si="6"/>
        <v>1.153571429</v>
      </c>
      <c r="AP238" s="4" t="s">
        <v>1498</v>
      </c>
    </row>
    <row r="239" ht="12.75" customHeight="1">
      <c r="A239" s="1" t="s">
        <v>1319</v>
      </c>
      <c r="B239" s="1" t="s">
        <v>1320</v>
      </c>
      <c r="C239" s="4" t="s">
        <v>44</v>
      </c>
      <c r="D239" s="1" t="s">
        <v>45</v>
      </c>
      <c r="E239" s="4" t="s">
        <v>124</v>
      </c>
      <c r="F239" s="1" t="s">
        <v>126</v>
      </c>
      <c r="G239" s="1"/>
      <c r="H239" s="1" t="s">
        <v>65</v>
      </c>
      <c r="I239" s="1" t="s">
        <v>421</v>
      </c>
      <c r="J239" s="1">
        <v>20.0</v>
      </c>
      <c r="K239" s="1">
        <v>90.0</v>
      </c>
      <c r="L239" s="1">
        <v>1990.0</v>
      </c>
      <c r="M239" s="1"/>
      <c r="N239" s="1"/>
      <c r="O239" s="1">
        <v>2020.0</v>
      </c>
      <c r="P239" s="1" t="s">
        <v>105</v>
      </c>
      <c r="Q239" s="4" t="s">
        <v>51</v>
      </c>
      <c r="R239" s="1" t="s">
        <v>52</v>
      </c>
      <c r="S239" s="1" t="s">
        <v>106</v>
      </c>
      <c r="T239" s="4" t="s">
        <v>1902</v>
      </c>
      <c r="U239" s="1">
        <v>1980.0</v>
      </c>
      <c r="V239" s="1"/>
      <c r="W239" s="1"/>
      <c r="X239" s="4" t="s">
        <v>55</v>
      </c>
      <c r="Y239" s="4" t="s">
        <v>45</v>
      </c>
      <c r="Z239" s="1" t="s">
        <v>126</v>
      </c>
      <c r="AA239" s="1" t="s">
        <v>739</v>
      </c>
      <c r="AB239" s="1" t="s">
        <v>739</v>
      </c>
      <c r="AC239" s="1" t="s">
        <v>1781</v>
      </c>
      <c r="AD239" s="1" t="s">
        <v>1903</v>
      </c>
      <c r="AE239" s="1" t="s">
        <v>60</v>
      </c>
      <c r="AF239" s="1" t="s">
        <v>1687</v>
      </c>
      <c r="AG239" s="4" t="s">
        <v>62</v>
      </c>
      <c r="AH239" s="1">
        <v>8.0</v>
      </c>
      <c r="AI239" s="1">
        <v>8.0</v>
      </c>
      <c r="AJ239" s="1">
        <v>7.0</v>
      </c>
      <c r="AK239" s="1">
        <f t="shared" si="1"/>
        <v>23</v>
      </c>
      <c r="AL239" s="1">
        <v>1.0</v>
      </c>
      <c r="AM239" s="1">
        <v>392.0</v>
      </c>
      <c r="AN239" s="1">
        <f t="shared" si="5"/>
        <v>392</v>
      </c>
      <c r="AO239" s="1">
        <f t="shared" si="6"/>
        <v>1.15255102</v>
      </c>
      <c r="AP239" s="4" t="s">
        <v>1321</v>
      </c>
    </row>
    <row r="240" ht="12.75" customHeight="1">
      <c r="A240" s="1" t="s">
        <v>988</v>
      </c>
      <c r="B240" s="1" t="s">
        <v>989</v>
      </c>
      <c r="C240" s="4" t="s">
        <v>44</v>
      </c>
      <c r="D240" s="1" t="s">
        <v>148</v>
      </c>
      <c r="E240" s="1" t="s">
        <v>153</v>
      </c>
      <c r="F240" s="1" t="s">
        <v>158</v>
      </c>
      <c r="G240" s="4" t="s">
        <v>1904</v>
      </c>
      <c r="H240" s="1" t="s">
        <v>65</v>
      </c>
      <c r="I240" s="1" t="s">
        <v>1741</v>
      </c>
      <c r="J240" s="1">
        <v>20.0</v>
      </c>
      <c r="K240" s="1">
        <v>90.0</v>
      </c>
      <c r="L240" s="1">
        <v>1992.0</v>
      </c>
      <c r="M240" s="1"/>
      <c r="N240" s="1"/>
      <c r="O240" s="1">
        <v>2020.0</v>
      </c>
      <c r="P240" s="1" t="s">
        <v>105</v>
      </c>
      <c r="Q240" s="4" t="s">
        <v>51</v>
      </c>
      <c r="R240" s="1" t="s">
        <v>52</v>
      </c>
      <c r="S240" s="1" t="s">
        <v>106</v>
      </c>
      <c r="T240" s="4" t="s">
        <v>106</v>
      </c>
      <c r="U240" s="1">
        <v>1992.0</v>
      </c>
      <c r="V240" s="1"/>
      <c r="W240" s="1"/>
      <c r="X240" s="4" t="s">
        <v>55</v>
      </c>
      <c r="Y240" s="4" t="s">
        <v>148</v>
      </c>
      <c r="Z240" s="1" t="s">
        <v>158</v>
      </c>
      <c r="AA240" s="1" t="s">
        <v>1905</v>
      </c>
      <c r="AB240" s="1" t="s">
        <v>1905</v>
      </c>
      <c r="AC240" s="1" t="s">
        <v>19</v>
      </c>
      <c r="AD240" s="1" t="s">
        <v>1906</v>
      </c>
      <c r="AE240" s="1" t="s">
        <v>60</v>
      </c>
      <c r="AF240" s="1" t="s">
        <v>1687</v>
      </c>
      <c r="AG240" s="4" t="s">
        <v>62</v>
      </c>
      <c r="AH240" s="1">
        <v>9.0</v>
      </c>
      <c r="AI240" s="1">
        <v>9.0</v>
      </c>
      <c r="AJ240" s="1">
        <v>9.0</v>
      </c>
      <c r="AK240" s="1">
        <f t="shared" si="1"/>
        <v>27</v>
      </c>
      <c r="AL240" s="1">
        <v>1.0</v>
      </c>
      <c r="AM240" s="1">
        <v>232.0</v>
      </c>
      <c r="AN240" s="1">
        <f t="shared" si="5"/>
        <v>232</v>
      </c>
      <c r="AO240" s="1">
        <f t="shared" si="6"/>
        <v>1.354310345</v>
      </c>
      <c r="AP240" s="4" t="s">
        <v>990</v>
      </c>
    </row>
    <row r="241" ht="12.75" customHeight="1">
      <c r="A241" s="1" t="s">
        <v>708</v>
      </c>
      <c r="B241" s="1" t="s">
        <v>709</v>
      </c>
      <c r="C241" s="4" t="s">
        <v>44</v>
      </c>
      <c r="D241" s="1" t="s">
        <v>99</v>
      </c>
      <c r="E241" s="1" t="s">
        <v>173</v>
      </c>
      <c r="F241" s="1" t="s">
        <v>178</v>
      </c>
      <c r="G241" s="4" t="s">
        <v>1907</v>
      </c>
      <c r="H241" s="1" t="s">
        <v>65</v>
      </c>
      <c r="I241" s="1" t="s">
        <v>519</v>
      </c>
      <c r="J241" s="1">
        <v>20.0</v>
      </c>
      <c r="K241" s="1">
        <v>90.0</v>
      </c>
      <c r="L241" s="1">
        <v>1994.0</v>
      </c>
      <c r="M241" s="1"/>
      <c r="N241" s="1"/>
      <c r="O241" s="1">
        <v>2020.0</v>
      </c>
      <c r="P241" s="1" t="s">
        <v>105</v>
      </c>
      <c r="Q241" s="4" t="s">
        <v>51</v>
      </c>
      <c r="R241" s="1" t="s">
        <v>52</v>
      </c>
      <c r="S241" s="1" t="s">
        <v>106</v>
      </c>
      <c r="T241" s="4" t="s">
        <v>1908</v>
      </c>
      <c r="U241" s="4">
        <v>1938.0</v>
      </c>
      <c r="V241" s="1"/>
      <c r="W241" s="1"/>
      <c r="X241" s="4" t="s">
        <v>55</v>
      </c>
      <c r="Y241" s="4" t="s">
        <v>99</v>
      </c>
      <c r="Z241" s="1" t="s">
        <v>179</v>
      </c>
      <c r="AA241" s="1" t="s">
        <v>1867</v>
      </c>
      <c r="AB241" s="1" t="s">
        <v>1867</v>
      </c>
      <c r="AC241" s="1" t="s">
        <v>1781</v>
      </c>
      <c r="AD241" s="1" t="s">
        <v>1909</v>
      </c>
      <c r="AE241" s="1" t="s">
        <v>60</v>
      </c>
      <c r="AF241" s="1" t="s">
        <v>1687</v>
      </c>
      <c r="AG241" s="4" t="s">
        <v>62</v>
      </c>
      <c r="AH241" s="1">
        <v>9.0</v>
      </c>
      <c r="AI241" s="1">
        <v>8.0</v>
      </c>
      <c r="AJ241" s="1">
        <v>9.0</v>
      </c>
      <c r="AK241" s="1">
        <f t="shared" si="1"/>
        <v>26</v>
      </c>
      <c r="AL241" s="1">
        <v>1.0</v>
      </c>
      <c r="AM241" s="1">
        <v>160.0</v>
      </c>
      <c r="AN241" s="1">
        <f t="shared" si="5"/>
        <v>160</v>
      </c>
      <c r="AO241" s="1">
        <f t="shared" si="6"/>
        <v>1.30625</v>
      </c>
      <c r="AP241" s="4" t="s">
        <v>710</v>
      </c>
    </row>
    <row r="242" ht="12.75" customHeight="1">
      <c r="A242" s="1" t="s">
        <v>1390</v>
      </c>
      <c r="B242" s="1" t="s">
        <v>1393</v>
      </c>
      <c r="C242" s="4" t="s">
        <v>44</v>
      </c>
      <c r="D242" s="1" t="s">
        <v>45</v>
      </c>
      <c r="E242" s="4" t="s">
        <v>124</v>
      </c>
      <c r="F242" s="1" t="s">
        <v>126</v>
      </c>
      <c r="G242" s="1"/>
      <c r="H242" s="1" t="s">
        <v>65</v>
      </c>
      <c r="I242" s="1" t="s">
        <v>1679</v>
      </c>
      <c r="J242" s="1">
        <v>21.0</v>
      </c>
      <c r="K242" s="1">
        <v>10.0</v>
      </c>
      <c r="L242" s="1">
        <v>2011.0</v>
      </c>
      <c r="M242" s="1"/>
      <c r="N242" s="1"/>
      <c r="O242" s="1">
        <v>2020.0</v>
      </c>
      <c r="P242" s="1" t="s">
        <v>214</v>
      </c>
      <c r="Q242" s="4" t="s">
        <v>51</v>
      </c>
      <c r="R242" s="1" t="s">
        <v>52</v>
      </c>
      <c r="S242" s="1" t="s">
        <v>30</v>
      </c>
      <c r="T242" s="1" t="s">
        <v>60</v>
      </c>
      <c r="U242" s="1">
        <v>2011.0</v>
      </c>
      <c r="V242" s="1"/>
      <c r="W242" s="1"/>
      <c r="X242" s="4" t="s">
        <v>30</v>
      </c>
      <c r="Y242" s="4" t="s">
        <v>30</v>
      </c>
      <c r="Z242" s="4" t="s">
        <v>1785</v>
      </c>
      <c r="AA242" s="4" t="s">
        <v>1785</v>
      </c>
      <c r="AB242" s="1" t="s">
        <v>1225</v>
      </c>
      <c r="AC242" s="1" t="s">
        <v>261</v>
      </c>
      <c r="AD242" s="1" t="s">
        <v>174</v>
      </c>
      <c r="AE242" s="1" t="s">
        <v>112</v>
      </c>
      <c r="AF242" s="1" t="s">
        <v>1786</v>
      </c>
      <c r="AG242" s="4" t="s">
        <v>62</v>
      </c>
      <c r="AH242" s="1">
        <v>9.0</v>
      </c>
      <c r="AI242" s="1">
        <v>9.0</v>
      </c>
      <c r="AJ242" s="1">
        <v>9.0</v>
      </c>
      <c r="AK242" s="1">
        <f t="shared" si="1"/>
        <v>27</v>
      </c>
      <c r="AL242" s="1">
        <v>1.0</v>
      </c>
      <c r="AM242" s="1">
        <v>960.0</v>
      </c>
      <c r="AN242" s="1">
        <f t="shared" si="5"/>
        <v>960</v>
      </c>
      <c r="AO242" s="1">
        <f t="shared" si="6"/>
        <v>1.351041667</v>
      </c>
      <c r="AP242" s="4" t="s">
        <v>1394</v>
      </c>
    </row>
    <row r="243" ht="12.75" customHeight="1">
      <c r="A243" s="1" t="s">
        <v>1529</v>
      </c>
      <c r="B243" s="1" t="s">
        <v>1530</v>
      </c>
      <c r="C243" s="4" t="s">
        <v>44</v>
      </c>
      <c r="D243" s="1" t="s">
        <v>99</v>
      </c>
      <c r="E243" s="1" t="s">
        <v>100</v>
      </c>
      <c r="F243" s="1" t="s">
        <v>101</v>
      </c>
      <c r="G243" s="1"/>
      <c r="H243" s="1" t="s">
        <v>48</v>
      </c>
      <c r="I243" s="1" t="s">
        <v>1668</v>
      </c>
      <c r="J243" s="1">
        <v>21.0</v>
      </c>
      <c r="K243" s="1">
        <v>10.0</v>
      </c>
      <c r="L243" s="1">
        <v>2013.0</v>
      </c>
      <c r="M243" s="1"/>
      <c r="N243" s="1"/>
      <c r="O243" s="1">
        <v>2020.0</v>
      </c>
      <c r="P243" s="1" t="s">
        <v>105</v>
      </c>
      <c r="Q243" s="4" t="s">
        <v>51</v>
      </c>
      <c r="R243" s="1" t="s">
        <v>52</v>
      </c>
      <c r="S243" s="1" t="s">
        <v>271</v>
      </c>
      <c r="T243" s="4" t="s">
        <v>106</v>
      </c>
      <c r="U243" s="1">
        <v>2013.0</v>
      </c>
      <c r="V243" s="1"/>
      <c r="W243" s="1"/>
      <c r="X243" s="4" t="s">
        <v>55</v>
      </c>
      <c r="Y243" s="4" t="s">
        <v>94</v>
      </c>
      <c r="Z243" s="4" t="s">
        <v>1910</v>
      </c>
      <c r="AA243" s="4" t="s">
        <v>1911</v>
      </c>
      <c r="AB243" s="4" t="s">
        <v>1911</v>
      </c>
      <c r="AC243" s="1" t="s">
        <v>465</v>
      </c>
      <c r="AD243" s="4" t="s">
        <v>1912</v>
      </c>
      <c r="AE243" s="1" t="s">
        <v>60</v>
      </c>
      <c r="AF243" s="1" t="s">
        <v>1687</v>
      </c>
      <c r="AG243" s="4" t="s">
        <v>62</v>
      </c>
      <c r="AH243" s="1">
        <v>7.0</v>
      </c>
      <c r="AI243" s="1">
        <v>8.0</v>
      </c>
      <c r="AJ243" s="1">
        <v>7.0</v>
      </c>
      <c r="AK243" s="1">
        <f t="shared" si="1"/>
        <v>22</v>
      </c>
      <c r="AL243" s="1">
        <v>1.0</v>
      </c>
      <c r="AM243" s="1">
        <v>398.0</v>
      </c>
      <c r="AN243" s="1">
        <f t="shared" si="5"/>
        <v>398</v>
      </c>
      <c r="AO243" s="1">
        <f t="shared" si="6"/>
        <v>1.102512563</v>
      </c>
      <c r="AP243" s="4" t="s">
        <v>1531</v>
      </c>
    </row>
    <row r="244" ht="12.75" customHeight="1">
      <c r="A244" s="1" t="s">
        <v>1516</v>
      </c>
      <c r="B244" s="1" t="s">
        <v>1519</v>
      </c>
      <c r="C244" s="4" t="s">
        <v>44</v>
      </c>
      <c r="D244" s="1" t="s">
        <v>99</v>
      </c>
      <c r="E244" s="1" t="s">
        <v>187</v>
      </c>
      <c r="F244" s="1" t="s">
        <v>188</v>
      </c>
      <c r="G244" s="1"/>
      <c r="H244" s="1" t="s">
        <v>48</v>
      </c>
      <c r="I244" s="1" t="s">
        <v>421</v>
      </c>
      <c r="J244" s="1">
        <v>21.0</v>
      </c>
      <c r="K244" s="1">
        <v>10.0</v>
      </c>
      <c r="L244" s="1">
        <v>2013.0</v>
      </c>
      <c r="M244" s="1"/>
      <c r="N244" s="1"/>
      <c r="O244" s="1">
        <v>2020.0</v>
      </c>
      <c r="P244" s="1" t="s">
        <v>214</v>
      </c>
      <c r="Q244" s="4" t="s">
        <v>51</v>
      </c>
      <c r="R244" s="1" t="s">
        <v>136</v>
      </c>
      <c r="S244" s="1" t="s">
        <v>136</v>
      </c>
      <c r="T244" s="4" t="s">
        <v>1913</v>
      </c>
      <c r="U244" s="1">
        <v>1990.0</v>
      </c>
      <c r="V244" s="1"/>
      <c r="W244" s="1"/>
      <c r="X244" s="4" t="s">
        <v>55</v>
      </c>
      <c r="Y244" s="4" t="s">
        <v>99</v>
      </c>
      <c r="Z244" s="1" t="s">
        <v>197</v>
      </c>
      <c r="AA244" s="1" t="s">
        <v>197</v>
      </c>
      <c r="AB244" s="1" t="s">
        <v>197</v>
      </c>
      <c r="AC244" s="1" t="s">
        <v>1781</v>
      </c>
      <c r="AD244" s="1" t="s">
        <v>244</v>
      </c>
      <c r="AE244" s="1" t="s">
        <v>60</v>
      </c>
      <c r="AF244" s="1" t="s">
        <v>1687</v>
      </c>
      <c r="AG244" s="4" t="s">
        <v>62</v>
      </c>
      <c r="AH244" s="1">
        <v>8.0</v>
      </c>
      <c r="AI244" s="1">
        <v>9.0</v>
      </c>
      <c r="AJ244" s="1">
        <v>8.0</v>
      </c>
      <c r="AK244" s="1">
        <f t="shared" si="1"/>
        <v>25</v>
      </c>
      <c r="AL244" s="1">
        <v>1.0</v>
      </c>
      <c r="AM244" s="1">
        <v>596.0</v>
      </c>
      <c r="AN244" s="1">
        <f t="shared" si="5"/>
        <v>596</v>
      </c>
      <c r="AO244" s="1">
        <f t="shared" si="6"/>
        <v>1.251677852</v>
      </c>
      <c r="AP244" s="4" t="s">
        <v>1520</v>
      </c>
    </row>
    <row r="245" ht="12.75" customHeight="1">
      <c r="A245" s="1" t="s">
        <v>1575</v>
      </c>
      <c r="B245" s="1" t="s">
        <v>1576</v>
      </c>
      <c r="C245" s="4" t="s">
        <v>44</v>
      </c>
      <c r="D245" s="1" t="s">
        <v>94</v>
      </c>
      <c r="E245" s="1" t="s">
        <v>95</v>
      </c>
      <c r="F245" s="1" t="s">
        <v>96</v>
      </c>
      <c r="G245" s="1"/>
      <c r="H245" s="1" t="s">
        <v>65</v>
      </c>
      <c r="I245" s="1" t="s">
        <v>1642</v>
      </c>
      <c r="J245" s="1">
        <v>21.0</v>
      </c>
      <c r="K245" s="1">
        <v>10.0</v>
      </c>
      <c r="L245" s="1">
        <v>2016.0</v>
      </c>
      <c r="M245" s="1"/>
      <c r="N245" s="1"/>
      <c r="O245" s="1">
        <v>2020.0</v>
      </c>
      <c r="P245" s="1" t="s">
        <v>105</v>
      </c>
      <c r="Q245" s="4" t="s">
        <v>51</v>
      </c>
      <c r="R245" s="1" t="s">
        <v>136</v>
      </c>
      <c r="S245" s="1" t="s">
        <v>138</v>
      </c>
      <c r="T245" s="4" t="s">
        <v>1914</v>
      </c>
      <c r="U245" s="4">
        <v>1990.0</v>
      </c>
      <c r="V245" s="1"/>
      <c r="W245" s="1"/>
      <c r="X245" s="4" t="s">
        <v>55</v>
      </c>
      <c r="Y245" s="4" t="s">
        <v>94</v>
      </c>
      <c r="Z245" s="1" t="s">
        <v>96</v>
      </c>
      <c r="AA245" s="1" t="s">
        <v>1915</v>
      </c>
      <c r="AB245" s="1" t="s">
        <v>1915</v>
      </c>
      <c r="AC245" s="1" t="s">
        <v>69</v>
      </c>
      <c r="AD245" s="1" t="s">
        <v>1916</v>
      </c>
      <c r="AE245" s="1" t="s">
        <v>60</v>
      </c>
      <c r="AF245" s="1" t="s">
        <v>1687</v>
      </c>
      <c r="AG245" s="4" t="s">
        <v>62</v>
      </c>
      <c r="AH245" s="1">
        <v>7.0</v>
      </c>
      <c r="AI245" s="1">
        <v>8.0</v>
      </c>
      <c r="AJ245" s="1">
        <v>7.0</v>
      </c>
      <c r="AK245" s="1">
        <f t="shared" si="1"/>
        <v>22</v>
      </c>
      <c r="AL245" s="1">
        <v>1.0</v>
      </c>
      <c r="AM245" s="1">
        <v>336.0</v>
      </c>
      <c r="AN245" s="1">
        <f t="shared" si="5"/>
        <v>336</v>
      </c>
      <c r="AO245" s="1">
        <f t="shared" si="6"/>
        <v>1.10297619</v>
      </c>
      <c r="AP245" s="4" t="s">
        <v>1577</v>
      </c>
    </row>
    <row r="246" ht="12.75" customHeight="1">
      <c r="A246" s="1" t="s">
        <v>740</v>
      </c>
      <c r="B246" s="1" t="s">
        <v>741</v>
      </c>
      <c r="C246" s="4" t="s">
        <v>44</v>
      </c>
      <c r="D246" s="1" t="s">
        <v>45</v>
      </c>
      <c r="E246" s="4" t="s">
        <v>124</v>
      </c>
      <c r="F246" s="1" t="s">
        <v>126</v>
      </c>
      <c r="G246" s="4" t="s">
        <v>1917</v>
      </c>
      <c r="H246" s="1" t="s">
        <v>65</v>
      </c>
      <c r="I246" s="1" t="s">
        <v>1918</v>
      </c>
      <c r="J246" s="1">
        <v>21.0</v>
      </c>
      <c r="K246" s="1">
        <v>10.0</v>
      </c>
      <c r="L246" s="4">
        <v>2011.0</v>
      </c>
      <c r="M246" s="1"/>
      <c r="N246" s="1"/>
      <c r="O246" s="1">
        <v>2020.0</v>
      </c>
      <c r="P246" s="1" t="s">
        <v>105</v>
      </c>
      <c r="Q246" s="4" t="s">
        <v>51</v>
      </c>
      <c r="R246" s="1" t="s">
        <v>52</v>
      </c>
      <c r="S246" s="1" t="s">
        <v>106</v>
      </c>
      <c r="T246" s="4" t="s">
        <v>106</v>
      </c>
      <c r="U246" s="4">
        <v>2004.0</v>
      </c>
      <c r="V246" s="4">
        <v>3.0</v>
      </c>
      <c r="W246" s="4">
        <v>11.0</v>
      </c>
      <c r="X246" s="4" t="s">
        <v>55</v>
      </c>
      <c r="Y246" s="4" t="s">
        <v>99</v>
      </c>
      <c r="Z246" s="1" t="s">
        <v>175</v>
      </c>
      <c r="AA246" s="1" t="s">
        <v>1699</v>
      </c>
      <c r="AB246" s="1" t="s">
        <v>1699</v>
      </c>
      <c r="AC246" s="1" t="s">
        <v>69</v>
      </c>
      <c r="AD246" s="1" t="s">
        <v>498</v>
      </c>
      <c r="AE246" s="1" t="s">
        <v>60</v>
      </c>
      <c r="AF246" s="1" t="s">
        <v>1687</v>
      </c>
      <c r="AG246" s="4" t="s">
        <v>62</v>
      </c>
      <c r="AH246" s="1">
        <v>7.0</v>
      </c>
      <c r="AI246" s="1">
        <v>7.0</v>
      </c>
      <c r="AJ246" s="1">
        <v>6.0</v>
      </c>
      <c r="AK246" s="1">
        <f t="shared" si="1"/>
        <v>20</v>
      </c>
      <c r="AL246" s="1">
        <v>1.0</v>
      </c>
      <c r="AM246" s="1">
        <v>224.0</v>
      </c>
      <c r="AN246" s="1">
        <f t="shared" si="5"/>
        <v>224</v>
      </c>
      <c r="AO246" s="1">
        <f t="shared" si="6"/>
        <v>1.004464286</v>
      </c>
      <c r="AP246" s="4" t="s">
        <v>743</v>
      </c>
    </row>
    <row r="247" ht="12.75" customHeight="1">
      <c r="A247" s="1" t="s">
        <v>733</v>
      </c>
      <c r="B247" s="1" t="s">
        <v>734</v>
      </c>
      <c r="C247" s="4" t="s">
        <v>44</v>
      </c>
      <c r="D247" s="1" t="s">
        <v>148</v>
      </c>
      <c r="E247" s="1" t="s">
        <v>153</v>
      </c>
      <c r="F247" s="1" t="s">
        <v>155</v>
      </c>
      <c r="G247" s="1"/>
      <c r="H247" s="1" t="s">
        <v>48</v>
      </c>
      <c r="I247" s="1" t="s">
        <v>1668</v>
      </c>
      <c r="J247" s="1">
        <v>21.0</v>
      </c>
      <c r="K247" s="1">
        <v>10.0</v>
      </c>
      <c r="L247" s="1">
        <v>2017.0</v>
      </c>
      <c r="M247" s="1"/>
      <c r="N247" s="1"/>
      <c r="O247" s="1">
        <v>2020.0</v>
      </c>
      <c r="P247" s="1" t="s">
        <v>105</v>
      </c>
      <c r="Q247" s="4" t="s">
        <v>51</v>
      </c>
      <c r="R247" s="1" t="s">
        <v>52</v>
      </c>
      <c r="S247" s="1" t="s">
        <v>106</v>
      </c>
      <c r="T247" s="4" t="s">
        <v>106</v>
      </c>
      <c r="U247" s="1">
        <v>2017.0</v>
      </c>
      <c r="V247" s="1"/>
      <c r="W247" s="1"/>
      <c r="X247" s="4" t="s">
        <v>55</v>
      </c>
      <c r="Y247" s="4" t="s">
        <v>99</v>
      </c>
      <c r="Z247" s="4" t="s">
        <v>101</v>
      </c>
      <c r="AA247" s="1" t="s">
        <v>1641</v>
      </c>
      <c r="AB247" s="1" t="s">
        <v>1919</v>
      </c>
      <c r="AC247" s="1" t="s">
        <v>69</v>
      </c>
      <c r="AD247" s="1" t="s">
        <v>1920</v>
      </c>
      <c r="AE247" s="1" t="s">
        <v>60</v>
      </c>
      <c r="AF247" s="1" t="s">
        <v>1687</v>
      </c>
      <c r="AG247" s="4" t="s">
        <v>62</v>
      </c>
      <c r="AH247" s="1">
        <v>7.0</v>
      </c>
      <c r="AI247" s="1">
        <v>7.0</v>
      </c>
      <c r="AJ247" s="1">
        <v>6.0</v>
      </c>
      <c r="AK247" s="1">
        <f t="shared" si="1"/>
        <v>20</v>
      </c>
      <c r="AL247" s="1">
        <v>1.0</v>
      </c>
      <c r="AM247" s="1">
        <v>352.0</v>
      </c>
      <c r="AN247" s="1">
        <f t="shared" si="5"/>
        <v>352</v>
      </c>
      <c r="AO247" s="1">
        <f t="shared" si="6"/>
        <v>1.002840909</v>
      </c>
      <c r="AP247" s="4" t="s">
        <v>735</v>
      </c>
    </row>
    <row r="248" ht="12.75" customHeight="1">
      <c r="A248" s="1" t="s">
        <v>1193</v>
      </c>
      <c r="B248" s="1" t="s">
        <v>1194</v>
      </c>
      <c r="C248" s="4" t="s">
        <v>44</v>
      </c>
      <c r="D248" s="1" t="s">
        <v>99</v>
      </c>
      <c r="E248" s="1" t="s">
        <v>180</v>
      </c>
      <c r="F248" s="1" t="s">
        <v>183</v>
      </c>
      <c r="G248" s="1"/>
      <c r="H248" s="1" t="s">
        <v>48</v>
      </c>
      <c r="I248" s="1" t="s">
        <v>1684</v>
      </c>
      <c r="J248" s="1">
        <v>21.0</v>
      </c>
      <c r="K248" s="1">
        <v>10.0</v>
      </c>
      <c r="L248" s="1">
        <v>2017.0</v>
      </c>
      <c r="M248" s="1"/>
      <c r="N248" s="1"/>
      <c r="O248" s="1">
        <v>2020.0</v>
      </c>
      <c r="P248" s="1" t="s">
        <v>105</v>
      </c>
      <c r="Q248" s="4" t="s">
        <v>51</v>
      </c>
      <c r="R248" s="1" t="s">
        <v>52</v>
      </c>
      <c r="S248" s="1" t="s">
        <v>291</v>
      </c>
      <c r="T248" s="4" t="s">
        <v>495</v>
      </c>
      <c r="U248" s="1">
        <v>2017.0</v>
      </c>
      <c r="V248" s="1"/>
      <c r="W248" s="1"/>
      <c r="X248" s="4" t="s">
        <v>55</v>
      </c>
      <c r="Y248" s="4" t="s">
        <v>99</v>
      </c>
      <c r="Z248" s="1" t="s">
        <v>183</v>
      </c>
      <c r="AA248" s="1" t="s">
        <v>183</v>
      </c>
      <c r="AB248" s="1" t="s">
        <v>183</v>
      </c>
      <c r="AC248" s="1" t="s">
        <v>92</v>
      </c>
      <c r="AD248" s="1" t="s">
        <v>1921</v>
      </c>
      <c r="AE248" s="1" t="s">
        <v>60</v>
      </c>
      <c r="AF248" s="1" t="s">
        <v>1687</v>
      </c>
      <c r="AG248" s="4" t="s">
        <v>62</v>
      </c>
      <c r="AH248" s="1">
        <v>7.0</v>
      </c>
      <c r="AI248" s="1">
        <v>7.0</v>
      </c>
      <c r="AJ248" s="1">
        <v>7.0</v>
      </c>
      <c r="AK248" s="1">
        <f t="shared" si="1"/>
        <v>21</v>
      </c>
      <c r="AL248" s="1">
        <v>1.0</v>
      </c>
      <c r="AM248" s="1">
        <v>176.0</v>
      </c>
      <c r="AN248" s="1">
        <f t="shared" si="5"/>
        <v>176</v>
      </c>
      <c r="AO248" s="1">
        <f t="shared" si="6"/>
        <v>1.055681818</v>
      </c>
      <c r="AP248" s="4" t="s">
        <v>1195</v>
      </c>
    </row>
    <row r="249" ht="12.75" customHeight="1">
      <c r="A249" s="1" t="s">
        <v>1508</v>
      </c>
      <c r="B249" s="1" t="s">
        <v>1509</v>
      </c>
      <c r="C249" s="4" t="s">
        <v>44</v>
      </c>
      <c r="D249" s="1" t="s">
        <v>99</v>
      </c>
      <c r="E249" s="1" t="s">
        <v>100</v>
      </c>
      <c r="F249" s="1" t="s">
        <v>101</v>
      </c>
      <c r="G249" s="1"/>
      <c r="H249" s="1" t="s">
        <v>65</v>
      </c>
      <c r="I249" s="1" t="s">
        <v>1684</v>
      </c>
      <c r="J249" s="1">
        <v>21.0</v>
      </c>
      <c r="K249" s="1">
        <v>10.0</v>
      </c>
      <c r="L249" s="1">
        <v>2018.0</v>
      </c>
      <c r="M249" s="1"/>
      <c r="N249" s="1"/>
      <c r="O249" s="1">
        <v>2020.0</v>
      </c>
      <c r="P249" s="1" t="s">
        <v>105</v>
      </c>
      <c r="Q249" s="4" t="s">
        <v>51</v>
      </c>
      <c r="R249" s="1" t="s">
        <v>52</v>
      </c>
      <c r="S249" s="1" t="s">
        <v>244</v>
      </c>
      <c r="T249" s="1" t="s">
        <v>1766</v>
      </c>
      <c r="U249" s="1">
        <v>1925.0</v>
      </c>
      <c r="V249" s="1"/>
      <c r="W249" s="1"/>
      <c r="X249" s="4" t="s">
        <v>55</v>
      </c>
      <c r="Y249" s="4" t="s">
        <v>99</v>
      </c>
      <c r="Z249" s="4" t="s">
        <v>101</v>
      </c>
      <c r="AA249" s="4" t="s">
        <v>1922</v>
      </c>
      <c r="AB249" s="4" t="s">
        <v>1922</v>
      </c>
      <c r="AC249" s="1" t="s">
        <v>19</v>
      </c>
      <c r="AD249" s="1" t="s">
        <v>1923</v>
      </c>
      <c r="AE249" s="1" t="s">
        <v>143</v>
      </c>
      <c r="AF249" s="1" t="s">
        <v>1687</v>
      </c>
      <c r="AG249" s="4" t="s">
        <v>62</v>
      </c>
      <c r="AH249" s="1">
        <v>9.0</v>
      </c>
      <c r="AI249" s="1">
        <v>8.0</v>
      </c>
      <c r="AJ249" s="1">
        <v>9.0</v>
      </c>
      <c r="AK249" s="1">
        <f t="shared" si="1"/>
        <v>26</v>
      </c>
      <c r="AL249" s="1">
        <v>1.0</v>
      </c>
      <c r="AM249" s="1">
        <v>480.0</v>
      </c>
      <c r="AN249" s="1">
        <f t="shared" si="5"/>
        <v>480</v>
      </c>
      <c r="AO249" s="1">
        <f t="shared" si="6"/>
        <v>1.302083333</v>
      </c>
      <c r="AP249" s="4" t="s">
        <v>1510</v>
      </c>
    </row>
    <row r="250" ht="12.75" customHeight="1">
      <c r="A250" s="1" t="s">
        <v>1097</v>
      </c>
      <c r="B250" s="1" t="s">
        <v>1098</v>
      </c>
      <c r="C250" s="4" t="s">
        <v>44</v>
      </c>
      <c r="D250" s="1" t="s">
        <v>99</v>
      </c>
      <c r="E250" s="1" t="s">
        <v>100</v>
      </c>
      <c r="F250" s="1" t="s">
        <v>210</v>
      </c>
      <c r="G250" s="1"/>
      <c r="H250" s="1" t="s">
        <v>65</v>
      </c>
      <c r="I250" s="1" t="s">
        <v>421</v>
      </c>
      <c r="J250" s="1">
        <v>21.0</v>
      </c>
      <c r="K250" s="1">
        <v>10.0</v>
      </c>
      <c r="L250" s="1">
        <v>2018.0</v>
      </c>
      <c r="M250" s="1"/>
      <c r="N250" s="1"/>
      <c r="O250" s="1">
        <v>2020.0</v>
      </c>
      <c r="P250" s="1" t="s">
        <v>105</v>
      </c>
      <c r="Q250" s="4" t="s">
        <v>51</v>
      </c>
      <c r="R250" s="1" t="s">
        <v>52</v>
      </c>
      <c r="S250" s="1" t="s">
        <v>106</v>
      </c>
      <c r="T250" s="4" t="s">
        <v>1924</v>
      </c>
      <c r="U250" s="4">
        <v>1988.0</v>
      </c>
      <c r="V250" s="1"/>
      <c r="W250" s="1"/>
      <c r="X250" s="4" t="s">
        <v>55</v>
      </c>
      <c r="Y250" s="4" t="s">
        <v>99</v>
      </c>
      <c r="Z250" s="4" t="s">
        <v>181</v>
      </c>
      <c r="AA250" s="4" t="s">
        <v>1893</v>
      </c>
      <c r="AB250" s="4" t="s">
        <v>1925</v>
      </c>
      <c r="AC250" s="1" t="s">
        <v>69</v>
      </c>
      <c r="AD250" s="1" t="s">
        <v>498</v>
      </c>
      <c r="AE250" s="1" t="s">
        <v>60</v>
      </c>
      <c r="AF250" s="1" t="s">
        <v>1687</v>
      </c>
      <c r="AG250" s="4" t="s">
        <v>62</v>
      </c>
      <c r="AH250" s="1">
        <v>7.0</v>
      </c>
      <c r="AI250" s="1">
        <v>7.0</v>
      </c>
      <c r="AJ250" s="1">
        <v>6.0</v>
      </c>
      <c r="AK250" s="1">
        <f t="shared" si="1"/>
        <v>20</v>
      </c>
      <c r="AL250" s="1">
        <v>1.0</v>
      </c>
      <c r="AM250" s="1">
        <v>336.0</v>
      </c>
      <c r="AN250" s="1">
        <f t="shared" si="5"/>
        <v>336</v>
      </c>
      <c r="AO250" s="1">
        <f t="shared" si="6"/>
        <v>1.00297619</v>
      </c>
      <c r="AP250" s="4" t="s">
        <v>1099</v>
      </c>
    </row>
    <row r="251" ht="12.75" customHeight="1">
      <c r="A251" s="1" t="s">
        <v>1290</v>
      </c>
      <c r="B251" s="1" t="s">
        <v>1291</v>
      </c>
      <c r="C251" s="4" t="s">
        <v>44</v>
      </c>
      <c r="D251" s="1" t="s">
        <v>99</v>
      </c>
      <c r="E251" s="1" t="s">
        <v>180</v>
      </c>
      <c r="F251" s="1" t="s">
        <v>181</v>
      </c>
      <c r="G251" s="1"/>
      <c r="H251" s="1" t="s">
        <v>48</v>
      </c>
      <c r="I251" s="1" t="s">
        <v>1844</v>
      </c>
      <c r="J251" s="1">
        <v>21.0</v>
      </c>
      <c r="K251" s="1">
        <v>10.0</v>
      </c>
      <c r="L251" s="1">
        <v>2018.0</v>
      </c>
      <c r="M251" s="1"/>
      <c r="N251" s="1"/>
      <c r="O251" s="1">
        <v>2020.0</v>
      </c>
      <c r="P251" s="1" t="s">
        <v>105</v>
      </c>
      <c r="Q251" s="4" t="s">
        <v>51</v>
      </c>
      <c r="R251" s="1" t="s">
        <v>52</v>
      </c>
      <c r="S251" s="1" t="s">
        <v>244</v>
      </c>
      <c r="T251" s="1" t="s">
        <v>583</v>
      </c>
      <c r="U251" s="1">
        <v>1940.0</v>
      </c>
      <c r="V251" s="1"/>
      <c r="W251" s="1"/>
      <c r="X251" s="4" t="s">
        <v>55</v>
      </c>
      <c r="Y251" s="4" t="s">
        <v>148</v>
      </c>
      <c r="Z251" s="4" t="s">
        <v>157</v>
      </c>
      <c r="AA251" s="4" t="s">
        <v>1926</v>
      </c>
      <c r="AB251" s="4" t="s">
        <v>1926</v>
      </c>
      <c r="AC251" s="1" t="s">
        <v>465</v>
      </c>
      <c r="AD251" s="1" t="s">
        <v>1927</v>
      </c>
      <c r="AE251" s="1" t="s">
        <v>60</v>
      </c>
      <c r="AF251" s="1" t="s">
        <v>1687</v>
      </c>
      <c r="AG251" s="4" t="s">
        <v>62</v>
      </c>
      <c r="AH251" s="1">
        <v>8.0</v>
      </c>
      <c r="AI251" s="1">
        <v>8.0</v>
      </c>
      <c r="AJ251" s="1">
        <v>8.0</v>
      </c>
      <c r="AK251" s="1">
        <f t="shared" si="1"/>
        <v>24</v>
      </c>
      <c r="AL251" s="1">
        <v>1.0</v>
      </c>
      <c r="AM251" s="1">
        <v>304.0</v>
      </c>
      <c r="AN251" s="1">
        <f t="shared" si="5"/>
        <v>304</v>
      </c>
      <c r="AO251" s="1">
        <f t="shared" si="6"/>
        <v>1.203289474</v>
      </c>
      <c r="AP251" s="4" t="s">
        <v>1292</v>
      </c>
    </row>
    <row r="252" ht="12.75" customHeight="1">
      <c r="A252" s="1" t="s">
        <v>637</v>
      </c>
      <c r="B252" s="1" t="s">
        <v>638</v>
      </c>
      <c r="C252" s="4" t="s">
        <v>44</v>
      </c>
      <c r="D252" s="1" t="s">
        <v>45</v>
      </c>
      <c r="E252" s="4" t="s">
        <v>124</v>
      </c>
      <c r="F252" s="1" t="s">
        <v>126</v>
      </c>
      <c r="G252" s="4" t="s">
        <v>1928</v>
      </c>
      <c r="H252" s="1" t="s">
        <v>48</v>
      </c>
      <c r="I252" s="1" t="s">
        <v>1789</v>
      </c>
      <c r="J252" s="1">
        <v>21.0</v>
      </c>
      <c r="K252" s="1">
        <v>10.0</v>
      </c>
      <c r="L252" s="1">
        <v>2018.0</v>
      </c>
      <c r="M252" s="1"/>
      <c r="N252" s="1"/>
      <c r="O252" s="1">
        <v>2020.0</v>
      </c>
      <c r="P252" s="1" t="s">
        <v>105</v>
      </c>
      <c r="Q252" s="4" t="s">
        <v>51</v>
      </c>
      <c r="R252" s="1" t="s">
        <v>52</v>
      </c>
      <c r="S252" s="1" t="s">
        <v>106</v>
      </c>
      <c r="T252" s="4" t="s">
        <v>106</v>
      </c>
      <c r="U252" s="4">
        <v>1990.0</v>
      </c>
      <c r="V252" s="1"/>
      <c r="W252" s="1"/>
      <c r="X252" s="4" t="s">
        <v>55</v>
      </c>
      <c r="Y252" s="4" t="s">
        <v>94</v>
      </c>
      <c r="Z252" s="4" t="s">
        <v>118</v>
      </c>
      <c r="AA252" s="4" t="s">
        <v>1929</v>
      </c>
      <c r="AB252" s="4" t="s">
        <v>1929</v>
      </c>
      <c r="AC252" s="1" t="s">
        <v>1781</v>
      </c>
      <c r="AD252" s="1" t="s">
        <v>1930</v>
      </c>
      <c r="AE252" s="1" t="s">
        <v>60</v>
      </c>
      <c r="AF252" s="1" t="s">
        <v>1687</v>
      </c>
      <c r="AG252" s="4" t="s">
        <v>62</v>
      </c>
      <c r="AH252" s="1">
        <v>7.0</v>
      </c>
      <c r="AI252" s="1">
        <v>6.0</v>
      </c>
      <c r="AJ252" s="1">
        <v>6.0</v>
      </c>
      <c r="AK252" s="1">
        <f t="shared" si="1"/>
        <v>19</v>
      </c>
      <c r="AL252" s="1">
        <v>1.0</v>
      </c>
      <c r="AM252" s="1">
        <v>317.0</v>
      </c>
      <c r="AN252" s="1">
        <f t="shared" si="5"/>
        <v>317</v>
      </c>
      <c r="AO252" s="1">
        <f t="shared" si="6"/>
        <v>0.9531545741</v>
      </c>
      <c r="AP252" s="4" t="s">
        <v>639</v>
      </c>
    </row>
    <row r="253" ht="12.75" customHeight="1">
      <c r="A253" s="1" t="s">
        <v>1150</v>
      </c>
      <c r="B253" s="1" t="s">
        <v>1151</v>
      </c>
      <c r="C253" s="4" t="s">
        <v>44</v>
      </c>
      <c r="D253" s="1" t="s">
        <v>45</v>
      </c>
      <c r="E253" s="4" t="s">
        <v>124</v>
      </c>
      <c r="F253" s="1" t="s">
        <v>126</v>
      </c>
      <c r="G253" s="1"/>
      <c r="H253" s="1" t="s">
        <v>48</v>
      </c>
      <c r="I253" s="1" t="s">
        <v>1741</v>
      </c>
      <c r="J253" s="1">
        <v>21.0</v>
      </c>
      <c r="K253" s="1">
        <v>10.0</v>
      </c>
      <c r="L253" s="1">
        <v>2019.0</v>
      </c>
      <c r="M253" s="1"/>
      <c r="N253" s="1"/>
      <c r="O253" s="1">
        <v>2020.0</v>
      </c>
      <c r="P253" s="1" t="s">
        <v>105</v>
      </c>
      <c r="Q253" s="4" t="s">
        <v>51</v>
      </c>
      <c r="R253" s="1" t="s">
        <v>52</v>
      </c>
      <c r="S253" s="1" t="s">
        <v>106</v>
      </c>
      <c r="T253" s="4" t="s">
        <v>106</v>
      </c>
      <c r="U253" s="1">
        <v>2019.0</v>
      </c>
      <c r="V253" s="1"/>
      <c r="W253" s="1"/>
      <c r="X253" s="4" t="s">
        <v>55</v>
      </c>
      <c r="Y253" s="4" t="s">
        <v>45</v>
      </c>
      <c r="Z253" s="1" t="s">
        <v>126</v>
      </c>
      <c r="AA253" s="1" t="s">
        <v>1674</v>
      </c>
      <c r="AB253" s="1" t="s">
        <v>1931</v>
      </c>
      <c r="AC253" s="1" t="s">
        <v>69</v>
      </c>
      <c r="AD253" s="1" t="s">
        <v>142</v>
      </c>
      <c r="AE253" s="1" t="s">
        <v>60</v>
      </c>
      <c r="AF253" s="1" t="s">
        <v>1687</v>
      </c>
      <c r="AG253" s="4" t="s">
        <v>62</v>
      </c>
      <c r="AH253" s="1">
        <v>7.0</v>
      </c>
      <c r="AI253" s="1">
        <v>7.0</v>
      </c>
      <c r="AJ253" s="1">
        <v>7.0</v>
      </c>
      <c r="AK253" s="1">
        <f t="shared" si="1"/>
        <v>21</v>
      </c>
      <c r="AL253" s="1">
        <v>1.0</v>
      </c>
      <c r="AM253" s="1">
        <v>334.0</v>
      </c>
      <c r="AN253" s="1">
        <f t="shared" si="5"/>
        <v>334</v>
      </c>
      <c r="AO253" s="1">
        <f t="shared" si="6"/>
        <v>1.052994012</v>
      </c>
      <c r="AP253" s="4" t="s">
        <v>1152</v>
      </c>
    </row>
    <row r="254" ht="12.75" customHeight="1">
      <c r="A254" s="1" t="s">
        <v>1458</v>
      </c>
      <c r="B254" s="1" t="s">
        <v>1459</v>
      </c>
      <c r="C254" s="4" t="s">
        <v>44</v>
      </c>
      <c r="D254" s="1" t="s">
        <v>45</v>
      </c>
      <c r="E254" s="4" t="s">
        <v>124</v>
      </c>
      <c r="F254" s="1" t="s">
        <v>126</v>
      </c>
      <c r="G254" s="1"/>
      <c r="H254" s="1" t="s">
        <v>48</v>
      </c>
      <c r="I254" s="1" t="s">
        <v>1684</v>
      </c>
      <c r="J254" s="1">
        <v>21.0</v>
      </c>
      <c r="K254" s="1">
        <v>20.0</v>
      </c>
      <c r="L254" s="1">
        <v>2019.0</v>
      </c>
      <c r="M254" s="1"/>
      <c r="N254" s="1"/>
      <c r="O254" s="1">
        <v>2020.0</v>
      </c>
      <c r="P254" s="1" t="s">
        <v>105</v>
      </c>
      <c r="Q254" s="4" t="s">
        <v>51</v>
      </c>
      <c r="R254" s="1" t="s">
        <v>52</v>
      </c>
      <c r="S254" s="1" t="s">
        <v>270</v>
      </c>
      <c r="T254" s="4" t="s">
        <v>106</v>
      </c>
      <c r="U254" s="1">
        <v>2019.0</v>
      </c>
      <c r="V254" s="1"/>
      <c r="W254" s="1"/>
      <c r="X254" s="4" t="s">
        <v>55</v>
      </c>
      <c r="Y254" s="4" t="s">
        <v>45</v>
      </c>
      <c r="Z254" s="1" t="s">
        <v>126</v>
      </c>
      <c r="AA254" s="1" t="s">
        <v>1853</v>
      </c>
      <c r="AB254" s="1" t="s">
        <v>1932</v>
      </c>
      <c r="AC254" s="1" t="s">
        <v>1781</v>
      </c>
      <c r="AD254" s="1" t="s">
        <v>1933</v>
      </c>
      <c r="AE254" s="1" t="s">
        <v>60</v>
      </c>
      <c r="AF254" s="1" t="s">
        <v>1687</v>
      </c>
      <c r="AG254" s="4" t="s">
        <v>62</v>
      </c>
      <c r="AH254" s="1">
        <v>8.0</v>
      </c>
      <c r="AI254" s="1">
        <v>8.0</v>
      </c>
      <c r="AJ254" s="1">
        <v>7.0</v>
      </c>
      <c r="AK254" s="1">
        <f t="shared" si="1"/>
        <v>23</v>
      </c>
      <c r="AL254" s="1">
        <v>1.0</v>
      </c>
      <c r="AM254" s="1">
        <v>382.0</v>
      </c>
      <c r="AN254" s="1">
        <f t="shared" si="5"/>
        <v>382</v>
      </c>
      <c r="AO254" s="1">
        <f t="shared" si="6"/>
        <v>1.152617801</v>
      </c>
      <c r="AP254" s="4" t="s">
        <v>1460</v>
      </c>
    </row>
    <row r="255" ht="12.75" customHeight="1">
      <c r="A255" s="1" t="s">
        <v>1093</v>
      </c>
      <c r="B255" s="1" t="s">
        <v>1094</v>
      </c>
      <c r="C255" s="4" t="s">
        <v>44</v>
      </c>
      <c r="D255" s="1" t="s">
        <v>45</v>
      </c>
      <c r="E255" s="4" t="s">
        <v>124</v>
      </c>
      <c r="F255" s="1" t="s">
        <v>126</v>
      </c>
      <c r="G255" s="1"/>
      <c r="H255" s="1" t="s">
        <v>65</v>
      </c>
      <c r="I255" s="1" t="s">
        <v>1789</v>
      </c>
      <c r="J255" s="1">
        <v>21.0</v>
      </c>
      <c r="K255" s="1">
        <v>10.0</v>
      </c>
      <c r="L255" s="1">
        <v>2019.0</v>
      </c>
      <c r="M255" s="1"/>
      <c r="N255" s="1"/>
      <c r="O255" s="1">
        <v>2020.0</v>
      </c>
      <c r="P255" s="1" t="s">
        <v>105</v>
      </c>
      <c r="Q255" s="4" t="s">
        <v>51</v>
      </c>
      <c r="R255" s="1" t="s">
        <v>266</v>
      </c>
      <c r="S255" s="1" t="s">
        <v>247</v>
      </c>
      <c r="T255" s="4" t="s">
        <v>106</v>
      </c>
      <c r="U255" s="1">
        <v>2019.0</v>
      </c>
      <c r="V255" s="1"/>
      <c r="W255" s="1"/>
      <c r="X255" s="4" t="s">
        <v>55</v>
      </c>
      <c r="Y255" s="4" t="s">
        <v>45</v>
      </c>
      <c r="Z255" s="1" t="s">
        <v>126</v>
      </c>
      <c r="AA255" s="1" t="s">
        <v>126</v>
      </c>
      <c r="AB255" s="1" t="s">
        <v>126</v>
      </c>
      <c r="AC255" s="1" t="s">
        <v>1781</v>
      </c>
      <c r="AD255" s="1" t="s">
        <v>1873</v>
      </c>
      <c r="AE255" s="1" t="s">
        <v>1873</v>
      </c>
      <c r="AF255" s="1" t="s">
        <v>1687</v>
      </c>
      <c r="AG255" s="4" t="s">
        <v>62</v>
      </c>
      <c r="AH255" s="1">
        <v>7.0</v>
      </c>
      <c r="AI255" s="1">
        <v>6.0</v>
      </c>
      <c r="AJ255" s="1">
        <v>6.0</v>
      </c>
      <c r="AK255" s="1">
        <f t="shared" si="1"/>
        <v>19</v>
      </c>
      <c r="AL255" s="1">
        <v>1.0</v>
      </c>
      <c r="AM255" s="1">
        <v>480.0</v>
      </c>
      <c r="AN255" s="1">
        <f t="shared" si="5"/>
        <v>480</v>
      </c>
      <c r="AO255" s="1">
        <f t="shared" si="6"/>
        <v>0.9520833333</v>
      </c>
      <c r="AP255" s="4" t="s">
        <v>1095</v>
      </c>
    </row>
    <row r="256" ht="12.75" customHeight="1">
      <c r="A256" s="1" t="s">
        <v>1436</v>
      </c>
      <c r="B256" s="1" t="s">
        <v>1437</v>
      </c>
      <c r="C256" s="4" t="s">
        <v>44</v>
      </c>
      <c r="D256" s="1" t="s">
        <v>45</v>
      </c>
      <c r="E256" s="1" t="s">
        <v>46</v>
      </c>
      <c r="F256" s="1" t="s">
        <v>47</v>
      </c>
      <c r="G256" s="1" t="s">
        <v>1437</v>
      </c>
      <c r="H256" s="1" t="s">
        <v>65</v>
      </c>
      <c r="I256" s="1" t="s">
        <v>421</v>
      </c>
      <c r="J256" s="1">
        <v>21.0</v>
      </c>
      <c r="K256" s="1">
        <v>20.0</v>
      </c>
      <c r="L256" s="1">
        <v>2020.0</v>
      </c>
      <c r="M256" s="1"/>
      <c r="N256" s="1"/>
      <c r="O256" s="1">
        <v>2020.0</v>
      </c>
      <c r="P256" s="1" t="s">
        <v>105</v>
      </c>
      <c r="Q256" s="4" t="s">
        <v>51</v>
      </c>
      <c r="R256" s="1" t="s">
        <v>279</v>
      </c>
      <c r="S256" s="1" t="s">
        <v>279</v>
      </c>
      <c r="T256" s="4" t="s">
        <v>1710</v>
      </c>
      <c r="U256" s="1">
        <v>2020.0</v>
      </c>
      <c r="V256" s="1"/>
      <c r="W256" s="1"/>
      <c r="X256" s="4" t="s">
        <v>55</v>
      </c>
      <c r="Y256" s="4" t="s">
        <v>99</v>
      </c>
      <c r="Z256" s="1" t="s">
        <v>179</v>
      </c>
      <c r="AA256" s="1" t="s">
        <v>179</v>
      </c>
      <c r="AB256" s="1" t="s">
        <v>179</v>
      </c>
      <c r="AC256" s="1" t="s">
        <v>69</v>
      </c>
      <c r="AD256" s="1" t="s">
        <v>1934</v>
      </c>
      <c r="AE256" s="1" t="s">
        <v>60</v>
      </c>
      <c r="AF256" s="1" t="s">
        <v>1687</v>
      </c>
      <c r="AG256" s="4" t="s">
        <v>62</v>
      </c>
      <c r="AH256" s="1">
        <v>7.0</v>
      </c>
      <c r="AI256" s="1">
        <v>8.0</v>
      </c>
      <c r="AJ256" s="1">
        <v>7.0</v>
      </c>
      <c r="AK256" s="1">
        <f t="shared" si="1"/>
        <v>22</v>
      </c>
      <c r="AL256" s="1">
        <v>1.0</v>
      </c>
      <c r="AM256" s="1">
        <v>161.0</v>
      </c>
      <c r="AN256" s="1">
        <f t="shared" si="5"/>
        <v>161</v>
      </c>
      <c r="AO256" s="1">
        <f t="shared" si="6"/>
        <v>1.10621118</v>
      </c>
      <c r="AP256" s="4" t="s">
        <v>1438</v>
      </c>
    </row>
    <row r="257" ht="12.75" customHeight="1">
      <c r="A257" s="1" t="s">
        <v>711</v>
      </c>
      <c r="B257" s="1" t="s">
        <v>712</v>
      </c>
      <c r="C257" s="4" t="s">
        <v>44</v>
      </c>
      <c r="D257" s="1" t="s">
        <v>99</v>
      </c>
      <c r="E257" s="1" t="s">
        <v>100</v>
      </c>
      <c r="F257" s="1" t="s">
        <v>108</v>
      </c>
      <c r="G257" s="4" t="s">
        <v>1935</v>
      </c>
      <c r="H257" s="1" t="s">
        <v>65</v>
      </c>
      <c r="I257" s="1" t="s">
        <v>458</v>
      </c>
      <c r="J257" s="1">
        <v>19.0</v>
      </c>
      <c r="K257" s="1">
        <v>80.0</v>
      </c>
      <c r="L257" s="1">
        <v>1887.0</v>
      </c>
      <c r="M257" s="1"/>
      <c r="N257" s="1"/>
      <c r="O257" s="1">
        <v>2020.0</v>
      </c>
      <c r="P257" s="1" t="s">
        <v>105</v>
      </c>
      <c r="Q257" s="4" t="s">
        <v>51</v>
      </c>
      <c r="R257" s="1" t="s">
        <v>52</v>
      </c>
      <c r="S257" s="1" t="s">
        <v>270</v>
      </c>
      <c r="T257" s="1" t="s">
        <v>1640</v>
      </c>
      <c r="U257" s="1">
        <v>1887.0</v>
      </c>
      <c r="V257" s="1"/>
      <c r="W257" s="1"/>
      <c r="X257" s="4" t="s">
        <v>55</v>
      </c>
      <c r="Y257" s="4" t="s">
        <v>99</v>
      </c>
      <c r="Z257" s="4" t="s">
        <v>101</v>
      </c>
      <c r="AA257" s="4" t="s">
        <v>1641</v>
      </c>
      <c r="AB257" s="4" t="s">
        <v>1641</v>
      </c>
      <c r="AC257" s="1" t="s">
        <v>69</v>
      </c>
      <c r="AD257" s="1" t="s">
        <v>1889</v>
      </c>
      <c r="AE257" s="1" t="s">
        <v>60</v>
      </c>
      <c r="AF257" s="1" t="s">
        <v>1687</v>
      </c>
      <c r="AG257" s="4" t="s">
        <v>62</v>
      </c>
      <c r="AH257" s="1">
        <v>7.0</v>
      </c>
      <c r="AI257" s="1">
        <v>7.0</v>
      </c>
      <c r="AJ257" s="1">
        <v>8.0</v>
      </c>
      <c r="AK257" s="1">
        <f t="shared" si="1"/>
        <v>22</v>
      </c>
      <c r="AL257" s="1">
        <v>1.0</v>
      </c>
      <c r="AM257" s="1">
        <v>191.0</v>
      </c>
      <c r="AN257" s="1">
        <f t="shared" si="5"/>
        <v>191</v>
      </c>
      <c r="AO257" s="1">
        <f t="shared" si="6"/>
        <v>1.105235602</v>
      </c>
      <c r="AP257" s="4" t="s">
        <v>713</v>
      </c>
    </row>
    <row r="258" ht="12.75" customHeight="1">
      <c r="A258" s="1" t="s">
        <v>1340</v>
      </c>
      <c r="B258" s="1" t="s">
        <v>1341</v>
      </c>
      <c r="C258" s="4" t="s">
        <v>44</v>
      </c>
      <c r="D258" s="1" t="s">
        <v>45</v>
      </c>
      <c r="E258" s="4" t="s">
        <v>124</v>
      </c>
      <c r="F258" s="1" t="s">
        <v>125</v>
      </c>
      <c r="G258" s="1"/>
      <c r="H258" s="1" t="s">
        <v>65</v>
      </c>
      <c r="I258" s="1" t="s">
        <v>1879</v>
      </c>
      <c r="J258" s="1">
        <v>21.0</v>
      </c>
      <c r="K258" s="1">
        <v>10.0</v>
      </c>
      <c r="L258" s="1">
        <v>2013.0</v>
      </c>
      <c r="M258" s="1"/>
      <c r="N258" s="1"/>
      <c r="O258" s="1">
        <v>2020.0</v>
      </c>
      <c r="P258" s="1" t="s">
        <v>105</v>
      </c>
      <c r="Q258" s="4" t="s">
        <v>51</v>
      </c>
      <c r="R258" s="1" t="s">
        <v>136</v>
      </c>
      <c r="S258" s="1" t="s">
        <v>138</v>
      </c>
      <c r="T258" s="4" t="s">
        <v>1805</v>
      </c>
      <c r="U258" s="4">
        <v>1967.0</v>
      </c>
      <c r="V258" s="1"/>
      <c r="W258" s="1"/>
      <c r="X258" s="4" t="s">
        <v>55</v>
      </c>
      <c r="Y258" s="4" t="s">
        <v>45</v>
      </c>
      <c r="Z258" s="4" t="s">
        <v>126</v>
      </c>
      <c r="AA258" s="4" t="s">
        <v>1674</v>
      </c>
      <c r="AB258" s="4" t="s">
        <v>1936</v>
      </c>
      <c r="AC258" s="1" t="s">
        <v>261</v>
      </c>
      <c r="AD258" s="1" t="s">
        <v>1937</v>
      </c>
      <c r="AE258" s="1" t="s">
        <v>60</v>
      </c>
      <c r="AF258" s="1" t="s">
        <v>60</v>
      </c>
      <c r="AG258" s="4" t="s">
        <v>62</v>
      </c>
      <c r="AH258" s="1">
        <v>6.0</v>
      </c>
      <c r="AI258" s="1">
        <v>7.0</v>
      </c>
      <c r="AJ258" s="1">
        <v>6.0</v>
      </c>
      <c r="AK258" s="1">
        <f t="shared" si="1"/>
        <v>19</v>
      </c>
      <c r="AL258" s="1">
        <v>1.0</v>
      </c>
      <c r="AM258" s="1">
        <v>408.0</v>
      </c>
      <c r="AN258" s="1">
        <f t="shared" si="5"/>
        <v>408</v>
      </c>
      <c r="AO258" s="1">
        <f t="shared" si="6"/>
        <v>0.9524509804</v>
      </c>
      <c r="AP258" s="1"/>
    </row>
    <row r="259" ht="12.75" customHeight="1">
      <c r="A259" s="1" t="s">
        <v>1469</v>
      </c>
      <c r="B259" s="1" t="s">
        <v>1470</v>
      </c>
      <c r="C259" s="4" t="s">
        <v>44</v>
      </c>
      <c r="D259" s="1" t="s">
        <v>94</v>
      </c>
      <c r="E259" s="1" t="s">
        <v>95</v>
      </c>
      <c r="F259" s="1" t="s">
        <v>116</v>
      </c>
      <c r="G259" s="1"/>
      <c r="H259" s="1" t="s">
        <v>48</v>
      </c>
      <c r="I259" s="1" t="s">
        <v>428</v>
      </c>
      <c r="J259" s="1">
        <v>21.0</v>
      </c>
      <c r="K259" s="1">
        <v>10.0</v>
      </c>
      <c r="L259" s="1">
        <v>2012.0</v>
      </c>
      <c r="M259" s="1"/>
      <c r="N259" s="1"/>
      <c r="O259" s="1">
        <v>2020.0</v>
      </c>
      <c r="P259" s="1" t="s">
        <v>105</v>
      </c>
      <c r="Q259" s="4" t="s">
        <v>51</v>
      </c>
      <c r="R259" s="1" t="s">
        <v>52</v>
      </c>
      <c r="S259" s="1" t="s">
        <v>271</v>
      </c>
      <c r="T259" s="4" t="s">
        <v>106</v>
      </c>
      <c r="U259" s="1">
        <v>2012.0</v>
      </c>
      <c r="V259" s="1"/>
      <c r="W259" s="1"/>
      <c r="X259" s="4" t="s">
        <v>55</v>
      </c>
      <c r="Y259" s="4" t="s">
        <v>94</v>
      </c>
      <c r="Z259" s="1" t="s">
        <v>116</v>
      </c>
      <c r="AA259" s="1" t="s">
        <v>1938</v>
      </c>
      <c r="AB259" s="4" t="s">
        <v>1938</v>
      </c>
      <c r="AC259" s="1" t="s">
        <v>1781</v>
      </c>
      <c r="AD259" s="1" t="s">
        <v>1939</v>
      </c>
      <c r="AE259" s="1" t="s">
        <v>60</v>
      </c>
      <c r="AF259" s="1" t="s">
        <v>1687</v>
      </c>
      <c r="AG259" s="4" t="s">
        <v>62</v>
      </c>
      <c r="AH259" s="1">
        <v>8.0</v>
      </c>
      <c r="AI259" s="1">
        <v>7.0</v>
      </c>
      <c r="AJ259" s="1">
        <v>7.0</v>
      </c>
      <c r="AK259" s="1">
        <f t="shared" si="1"/>
        <v>22</v>
      </c>
      <c r="AL259" s="1">
        <v>1.0</v>
      </c>
      <c r="AM259" s="1">
        <v>368.0</v>
      </c>
      <c r="AN259" s="1">
        <f t="shared" si="5"/>
        <v>368</v>
      </c>
      <c r="AO259" s="1">
        <f t="shared" si="6"/>
        <v>1.102717391</v>
      </c>
      <c r="AP259" s="4" t="s">
        <v>1471</v>
      </c>
    </row>
    <row r="260" ht="12.75" customHeight="1">
      <c r="A260" s="1" t="s">
        <v>1104</v>
      </c>
      <c r="B260" s="1" t="s">
        <v>1105</v>
      </c>
      <c r="C260" s="4" t="s">
        <v>44</v>
      </c>
      <c r="D260" s="1" t="s">
        <v>45</v>
      </c>
      <c r="E260" s="4" t="s">
        <v>124</v>
      </c>
      <c r="F260" s="1" t="s">
        <v>126</v>
      </c>
      <c r="G260" s="1"/>
      <c r="H260" s="1" t="s">
        <v>65</v>
      </c>
      <c r="I260" s="1" t="s">
        <v>1679</v>
      </c>
      <c r="J260" s="1">
        <v>21.0</v>
      </c>
      <c r="K260" s="1">
        <v>10.0</v>
      </c>
      <c r="L260" s="1">
        <v>2019.0</v>
      </c>
      <c r="M260" s="1"/>
      <c r="N260" s="1"/>
      <c r="O260" s="1">
        <v>2020.0</v>
      </c>
      <c r="P260" s="1" t="s">
        <v>105</v>
      </c>
      <c r="Q260" s="4" t="s">
        <v>51</v>
      </c>
      <c r="R260" s="1" t="s">
        <v>52</v>
      </c>
      <c r="S260" s="1" t="s">
        <v>270</v>
      </c>
      <c r="T260" s="4" t="s">
        <v>526</v>
      </c>
      <c r="U260" s="1">
        <v>1975.0</v>
      </c>
      <c r="V260" s="1"/>
      <c r="W260" s="1"/>
      <c r="X260" s="4" t="s">
        <v>55</v>
      </c>
      <c r="Y260" s="4" t="s">
        <v>45</v>
      </c>
      <c r="Z260" s="1" t="s">
        <v>126</v>
      </c>
      <c r="AA260" s="1" t="s">
        <v>1853</v>
      </c>
      <c r="AB260" s="1" t="s">
        <v>1853</v>
      </c>
      <c r="AC260" s="1" t="s">
        <v>19</v>
      </c>
      <c r="AD260" s="1" t="s">
        <v>562</v>
      </c>
      <c r="AE260" s="1" t="s">
        <v>60</v>
      </c>
      <c r="AF260" s="1" t="s">
        <v>1687</v>
      </c>
      <c r="AG260" s="4" t="s">
        <v>62</v>
      </c>
      <c r="AH260" s="1">
        <v>7.0</v>
      </c>
      <c r="AI260" s="1">
        <v>7.0</v>
      </c>
      <c r="AJ260" s="1">
        <v>7.0</v>
      </c>
      <c r="AK260" s="1">
        <f t="shared" si="1"/>
        <v>21</v>
      </c>
      <c r="AL260" s="1">
        <v>1.0</v>
      </c>
      <c r="AM260" s="1">
        <v>445.0</v>
      </c>
      <c r="AN260" s="1">
        <f t="shared" si="5"/>
        <v>445</v>
      </c>
      <c r="AO260" s="1">
        <f t="shared" si="6"/>
        <v>1.052247191</v>
      </c>
      <c r="AP260" s="4" t="s">
        <v>1106</v>
      </c>
    </row>
    <row r="261" ht="12.75" customHeight="1">
      <c r="A261" s="1" t="s">
        <v>1126</v>
      </c>
      <c r="B261" s="1" t="s">
        <v>1127</v>
      </c>
      <c r="C261" s="4" t="s">
        <v>44</v>
      </c>
      <c r="D261" s="1" t="s">
        <v>45</v>
      </c>
      <c r="E261" s="4" t="s">
        <v>124</v>
      </c>
      <c r="F261" s="1" t="s">
        <v>126</v>
      </c>
      <c r="G261" s="1"/>
      <c r="H261" s="1" t="s">
        <v>48</v>
      </c>
      <c r="I261" s="1" t="s">
        <v>1789</v>
      </c>
      <c r="J261" s="1">
        <v>21.0</v>
      </c>
      <c r="K261" s="1">
        <v>10.0</v>
      </c>
      <c r="L261" s="1">
        <v>2019.0</v>
      </c>
      <c r="M261" s="1"/>
      <c r="N261" s="1"/>
      <c r="O261" s="1">
        <v>2020.0</v>
      </c>
      <c r="P261" s="1" t="s">
        <v>105</v>
      </c>
      <c r="Q261" s="4" t="s">
        <v>51</v>
      </c>
      <c r="R261" s="1" t="s">
        <v>52</v>
      </c>
      <c r="S261" s="1" t="s">
        <v>106</v>
      </c>
      <c r="T261" s="4" t="s">
        <v>106</v>
      </c>
      <c r="U261" s="1">
        <v>2019.0</v>
      </c>
      <c r="V261" s="1"/>
      <c r="W261" s="1"/>
      <c r="X261" s="4" t="s">
        <v>55</v>
      </c>
      <c r="Y261" s="4" t="s">
        <v>45</v>
      </c>
      <c r="Z261" s="4" t="s">
        <v>126</v>
      </c>
      <c r="AA261" s="1" t="s">
        <v>739</v>
      </c>
      <c r="AB261" s="1" t="s">
        <v>739</v>
      </c>
      <c r="AC261" s="1" t="s">
        <v>1781</v>
      </c>
      <c r="AD261" s="1" t="s">
        <v>1940</v>
      </c>
      <c r="AE261" s="1" t="s">
        <v>60</v>
      </c>
      <c r="AF261" s="1" t="s">
        <v>1687</v>
      </c>
      <c r="AG261" s="4" t="s">
        <v>62</v>
      </c>
      <c r="AH261" s="1">
        <v>9.0</v>
      </c>
      <c r="AI261" s="1">
        <v>8.0</v>
      </c>
      <c r="AJ261" s="1">
        <v>8.0</v>
      </c>
      <c r="AK261" s="1">
        <f t="shared" si="1"/>
        <v>25</v>
      </c>
      <c r="AL261" s="1">
        <v>1.0</v>
      </c>
      <c r="AM261" s="1">
        <v>384.0</v>
      </c>
      <c r="AN261" s="1">
        <f t="shared" si="5"/>
        <v>384</v>
      </c>
      <c r="AO261" s="1">
        <f t="shared" si="6"/>
        <v>1.252604167</v>
      </c>
      <c r="AP261" s="4" t="s">
        <v>1128</v>
      </c>
    </row>
    <row r="262" ht="12.75" customHeight="1">
      <c r="A262" s="1" t="s">
        <v>1624</v>
      </c>
      <c r="B262" s="1" t="s">
        <v>1625</v>
      </c>
      <c r="C262" s="4" t="s">
        <v>44</v>
      </c>
      <c r="D262" s="1" t="s">
        <v>45</v>
      </c>
      <c r="E262" s="4" t="s">
        <v>124</v>
      </c>
      <c r="F262" s="1" t="s">
        <v>126</v>
      </c>
      <c r="G262" s="4" t="s">
        <v>1941</v>
      </c>
      <c r="H262" s="1" t="s">
        <v>65</v>
      </c>
      <c r="I262" s="1" t="s">
        <v>1684</v>
      </c>
      <c r="J262" s="1">
        <v>21.0</v>
      </c>
      <c r="K262" s="1">
        <v>10.0</v>
      </c>
      <c r="L262" s="1">
        <v>2018.0</v>
      </c>
      <c r="M262" s="1">
        <v>11.0</v>
      </c>
      <c r="N262" s="1">
        <v>1.0</v>
      </c>
      <c r="O262" s="1">
        <v>2021.0</v>
      </c>
      <c r="P262" s="1" t="s">
        <v>105</v>
      </c>
      <c r="Q262" s="4" t="s">
        <v>51</v>
      </c>
      <c r="R262" s="1" t="s">
        <v>52</v>
      </c>
      <c r="S262" s="1" t="s">
        <v>298</v>
      </c>
      <c r="T262" s="4" t="s">
        <v>1942</v>
      </c>
      <c r="U262" s="4">
        <v>2011.0</v>
      </c>
      <c r="V262" s="4">
        <v>3.0</v>
      </c>
      <c r="W262" s="4">
        <v>15.0</v>
      </c>
      <c r="X262" s="4" t="s">
        <v>55</v>
      </c>
      <c r="Y262" s="4" t="s">
        <v>148</v>
      </c>
      <c r="Z262" s="4" t="s">
        <v>1943</v>
      </c>
      <c r="AA262" s="4" t="s">
        <v>1943</v>
      </c>
      <c r="AB262" s="4" t="s">
        <v>1943</v>
      </c>
      <c r="AC262" s="1" t="s">
        <v>465</v>
      </c>
      <c r="AD262" s="1" t="s">
        <v>1944</v>
      </c>
      <c r="AE262" s="1" t="s">
        <v>60</v>
      </c>
      <c r="AF262" s="1" t="s">
        <v>1687</v>
      </c>
      <c r="AG262" s="4" t="s">
        <v>62</v>
      </c>
      <c r="AH262" s="1">
        <v>8.0</v>
      </c>
      <c r="AI262" s="1">
        <v>8.0</v>
      </c>
      <c r="AJ262" s="1">
        <v>7.0</v>
      </c>
      <c r="AK262" s="1">
        <f t="shared" si="1"/>
        <v>23</v>
      </c>
      <c r="AL262" s="1">
        <v>1.0</v>
      </c>
      <c r="AM262" s="1">
        <v>368.0</v>
      </c>
      <c r="AN262" s="1">
        <f t="shared" si="5"/>
        <v>368</v>
      </c>
      <c r="AO262" s="1">
        <f t="shared" si="6"/>
        <v>1.152717391</v>
      </c>
      <c r="AP262" s="4" t="s">
        <v>1626</v>
      </c>
    </row>
    <row r="263" ht="12.75" customHeight="1">
      <c r="A263" s="1" t="s">
        <v>648</v>
      </c>
      <c r="B263" s="1" t="s">
        <v>649</v>
      </c>
      <c r="C263" s="4" t="s">
        <v>44</v>
      </c>
      <c r="D263" s="1" t="s">
        <v>94</v>
      </c>
      <c r="E263" s="1" t="s">
        <v>95</v>
      </c>
      <c r="F263" s="1" t="s">
        <v>104</v>
      </c>
      <c r="G263" s="4" t="s">
        <v>1945</v>
      </c>
      <c r="H263" s="1" t="s">
        <v>65</v>
      </c>
      <c r="I263" s="1" t="s">
        <v>1946</v>
      </c>
      <c r="J263" s="1">
        <v>21.0</v>
      </c>
      <c r="K263" s="1">
        <v>10.0</v>
      </c>
      <c r="L263" s="1">
        <v>2015.0</v>
      </c>
      <c r="M263" s="1">
        <v>18.0</v>
      </c>
      <c r="N263" s="1">
        <v>1.0</v>
      </c>
      <c r="O263" s="1">
        <v>2021.0</v>
      </c>
      <c r="P263" s="1" t="s">
        <v>105</v>
      </c>
      <c r="Q263" s="4" t="s">
        <v>51</v>
      </c>
      <c r="R263" s="1" t="s">
        <v>52</v>
      </c>
      <c r="S263" s="1" t="s">
        <v>271</v>
      </c>
      <c r="T263" s="4" t="s">
        <v>1947</v>
      </c>
      <c r="U263" s="4">
        <v>1980.0</v>
      </c>
      <c r="V263" s="1"/>
      <c r="W263" s="1"/>
      <c r="X263" s="4" t="s">
        <v>55</v>
      </c>
      <c r="Y263" s="4" t="s">
        <v>94</v>
      </c>
      <c r="Z263" s="4" t="s">
        <v>1948</v>
      </c>
      <c r="AA263" s="4" t="s">
        <v>1949</v>
      </c>
      <c r="AB263" s="4" t="s">
        <v>1950</v>
      </c>
      <c r="AC263" s="1" t="s">
        <v>69</v>
      </c>
      <c r="AD263" s="1" t="s">
        <v>1951</v>
      </c>
      <c r="AE263" s="1" t="s">
        <v>60</v>
      </c>
      <c r="AF263" s="1" t="s">
        <v>1687</v>
      </c>
      <c r="AG263" s="4" t="s">
        <v>62</v>
      </c>
      <c r="AH263" s="1">
        <v>8.0</v>
      </c>
      <c r="AI263" s="1">
        <v>9.0</v>
      </c>
      <c r="AJ263" s="1">
        <v>9.0</v>
      </c>
      <c r="AK263" s="1">
        <f t="shared" si="1"/>
        <v>26</v>
      </c>
      <c r="AL263" s="1">
        <v>1.0</v>
      </c>
      <c r="AM263" s="1">
        <v>223.0</v>
      </c>
      <c r="AN263" s="1">
        <f t="shared" si="5"/>
        <v>223</v>
      </c>
      <c r="AO263" s="1">
        <f t="shared" si="6"/>
        <v>1.304484305</v>
      </c>
      <c r="AP263" s="4" t="s">
        <v>650</v>
      </c>
    </row>
    <row r="264" ht="12.75" customHeight="1">
      <c r="A264" s="1" t="s">
        <v>1367</v>
      </c>
      <c r="B264" s="1" t="s">
        <v>1368</v>
      </c>
      <c r="C264" s="4" t="s">
        <v>44</v>
      </c>
      <c r="D264" s="1" t="s">
        <v>148</v>
      </c>
      <c r="E264" s="1" t="s">
        <v>160</v>
      </c>
      <c r="F264" s="1" t="s">
        <v>169</v>
      </c>
      <c r="G264" s="4" t="s">
        <v>1952</v>
      </c>
      <c r="H264" s="1" t="s">
        <v>65</v>
      </c>
      <c r="I264" s="1" t="s">
        <v>421</v>
      </c>
      <c r="J264" s="1">
        <v>21.0</v>
      </c>
      <c r="K264" s="1">
        <v>10.0</v>
      </c>
      <c r="L264" s="1">
        <v>2016.0</v>
      </c>
      <c r="M264" s="1">
        <v>4.0</v>
      </c>
      <c r="N264" s="1">
        <v>2.0</v>
      </c>
      <c r="O264" s="1">
        <v>2021.0</v>
      </c>
      <c r="P264" s="1" t="s">
        <v>105</v>
      </c>
      <c r="Q264" s="4" t="s">
        <v>51</v>
      </c>
      <c r="R264" s="1" t="s">
        <v>52</v>
      </c>
      <c r="S264" s="1" t="s">
        <v>106</v>
      </c>
      <c r="T264" s="4" t="s">
        <v>1953</v>
      </c>
      <c r="U264" s="4">
        <v>1980.0</v>
      </c>
      <c r="V264" s="1"/>
      <c r="W264" s="1"/>
      <c r="X264" s="4" t="s">
        <v>55</v>
      </c>
      <c r="Y264" s="4" t="s">
        <v>148</v>
      </c>
      <c r="Z264" s="1" t="s">
        <v>169</v>
      </c>
      <c r="AA264" s="1" t="s">
        <v>1732</v>
      </c>
      <c r="AB264" s="1" t="s">
        <v>1732</v>
      </c>
      <c r="AC264" s="1" t="s">
        <v>1781</v>
      </c>
      <c r="AD264" s="1" t="s">
        <v>1954</v>
      </c>
      <c r="AE264" s="1" t="s">
        <v>60</v>
      </c>
      <c r="AF264" s="1" t="s">
        <v>1687</v>
      </c>
      <c r="AG264" s="4" t="s">
        <v>62</v>
      </c>
      <c r="AH264" s="1">
        <v>8.0</v>
      </c>
      <c r="AI264" s="1">
        <v>7.0</v>
      </c>
      <c r="AJ264" s="1">
        <v>7.0</v>
      </c>
      <c r="AK264" s="1">
        <f t="shared" si="1"/>
        <v>22</v>
      </c>
      <c r="AL264" s="1">
        <v>1.0</v>
      </c>
      <c r="AM264" s="1">
        <v>296.0</v>
      </c>
      <c r="AN264" s="1">
        <f t="shared" si="5"/>
        <v>296</v>
      </c>
      <c r="AO264" s="1">
        <f t="shared" si="6"/>
        <v>1.103378378</v>
      </c>
      <c r="AP264" s="4" t="s">
        <v>1369</v>
      </c>
    </row>
    <row r="265" ht="12.75" customHeight="1">
      <c r="A265" s="1" t="s">
        <v>793</v>
      </c>
      <c r="B265" s="1" t="s">
        <v>794</v>
      </c>
      <c r="C265" s="4" t="s">
        <v>44</v>
      </c>
      <c r="D265" s="1" t="s">
        <v>99</v>
      </c>
      <c r="E265" s="1" t="s">
        <v>180</v>
      </c>
      <c r="F265" s="1" t="s">
        <v>181</v>
      </c>
      <c r="G265" s="4" t="s">
        <v>1955</v>
      </c>
      <c r="H265" s="1" t="s">
        <v>48</v>
      </c>
      <c r="I265" s="1" t="s">
        <v>1956</v>
      </c>
      <c r="J265" s="1">
        <v>21.0</v>
      </c>
      <c r="K265" s="4">
        <v>10.0</v>
      </c>
      <c r="L265" s="4">
        <v>2019.0</v>
      </c>
      <c r="M265" s="1">
        <v>16.0</v>
      </c>
      <c r="N265" s="1">
        <v>2.0</v>
      </c>
      <c r="O265" s="1">
        <v>2021.0</v>
      </c>
      <c r="P265" s="1" t="s">
        <v>105</v>
      </c>
      <c r="Q265" s="4" t="s">
        <v>51</v>
      </c>
      <c r="R265" s="1" t="s">
        <v>52</v>
      </c>
      <c r="S265" s="1" t="s">
        <v>301</v>
      </c>
      <c r="T265" s="4" t="s">
        <v>1957</v>
      </c>
      <c r="U265" s="1">
        <v>1954.0</v>
      </c>
      <c r="V265" s="4">
        <v>7.0</v>
      </c>
      <c r="W265" s="4">
        <v>13.0</v>
      </c>
      <c r="X265" s="4" t="s">
        <v>55</v>
      </c>
      <c r="Y265" s="4" t="s">
        <v>45</v>
      </c>
      <c r="Z265" s="1" t="s">
        <v>134</v>
      </c>
      <c r="AA265" s="1" t="s">
        <v>1958</v>
      </c>
      <c r="AB265" s="4" t="s">
        <v>1959</v>
      </c>
      <c r="AC265" s="1" t="s">
        <v>261</v>
      </c>
      <c r="AD265" s="1" t="s">
        <v>1960</v>
      </c>
      <c r="AE265" s="1" t="s">
        <v>60</v>
      </c>
      <c r="AF265" s="1" t="s">
        <v>1687</v>
      </c>
      <c r="AG265" s="4" t="s">
        <v>62</v>
      </c>
      <c r="AH265" s="1">
        <v>6.0</v>
      </c>
      <c r="AI265" s="1">
        <v>7.0</v>
      </c>
      <c r="AJ265" s="1">
        <v>6.0</v>
      </c>
      <c r="AK265" s="1">
        <f t="shared" si="1"/>
        <v>19</v>
      </c>
      <c r="AL265" s="1">
        <v>1.0</v>
      </c>
      <c r="AM265" s="1">
        <v>301.0</v>
      </c>
      <c r="AN265" s="1">
        <f t="shared" si="5"/>
        <v>301</v>
      </c>
      <c r="AO265" s="1">
        <f t="shared" si="6"/>
        <v>0.9533222591</v>
      </c>
      <c r="AP265" s="4" t="s">
        <v>795</v>
      </c>
    </row>
    <row r="266" ht="12.75" customHeight="1">
      <c r="A266" s="1" t="s">
        <v>1214</v>
      </c>
      <c r="B266" s="1" t="s">
        <v>1215</v>
      </c>
      <c r="C266" s="4" t="s">
        <v>44</v>
      </c>
      <c r="D266" s="1" t="s">
        <v>45</v>
      </c>
      <c r="E266" s="4" t="s">
        <v>124</v>
      </c>
      <c r="F266" s="1" t="s">
        <v>126</v>
      </c>
      <c r="G266" s="1"/>
      <c r="H266" s="1" t="s">
        <v>48</v>
      </c>
      <c r="I266" s="1" t="s">
        <v>1961</v>
      </c>
      <c r="J266" s="1">
        <v>21.0</v>
      </c>
      <c r="K266" s="1">
        <v>20.0</v>
      </c>
      <c r="L266" s="1">
        <v>2020.0</v>
      </c>
      <c r="M266" s="1">
        <v>4.0</v>
      </c>
      <c r="N266" s="1">
        <v>3.0</v>
      </c>
      <c r="O266" s="1">
        <v>2021.0</v>
      </c>
      <c r="P266" s="1" t="s">
        <v>105</v>
      </c>
      <c r="Q266" s="4" t="s">
        <v>51</v>
      </c>
      <c r="R266" s="1" t="s">
        <v>52</v>
      </c>
      <c r="S266" s="1" t="s">
        <v>270</v>
      </c>
      <c r="T266" s="4" t="s">
        <v>1710</v>
      </c>
      <c r="U266" s="1">
        <v>2020.0</v>
      </c>
      <c r="V266" s="1"/>
      <c r="W266" s="1"/>
      <c r="X266" s="4" t="s">
        <v>55</v>
      </c>
      <c r="Y266" s="4" t="s">
        <v>45</v>
      </c>
      <c r="Z266" s="1" t="s">
        <v>126</v>
      </c>
      <c r="AA266" s="1" t="s">
        <v>1962</v>
      </c>
      <c r="AB266" s="1" t="s">
        <v>1963</v>
      </c>
      <c r="AC266" s="1" t="s">
        <v>58</v>
      </c>
      <c r="AD266" s="1" t="s">
        <v>1964</v>
      </c>
      <c r="AE266" s="1" t="s">
        <v>60</v>
      </c>
      <c r="AF266" s="1" t="s">
        <v>1687</v>
      </c>
      <c r="AG266" s="4" t="s">
        <v>62</v>
      </c>
      <c r="AH266" s="1">
        <v>8.0</v>
      </c>
      <c r="AI266" s="1">
        <v>8.0</v>
      </c>
      <c r="AJ266" s="1">
        <v>8.0</v>
      </c>
      <c r="AK266" s="1">
        <f t="shared" si="1"/>
        <v>24</v>
      </c>
      <c r="AL266" s="1">
        <v>1.0</v>
      </c>
      <c r="AM266" s="1">
        <v>352.0</v>
      </c>
      <c r="AN266" s="1">
        <f t="shared" si="5"/>
        <v>352</v>
      </c>
      <c r="AO266" s="1">
        <f t="shared" si="6"/>
        <v>1.202840909</v>
      </c>
      <c r="AP266" s="4" t="s">
        <v>1216</v>
      </c>
    </row>
    <row r="267" ht="12.75" customHeight="1">
      <c r="A267" s="1" t="s">
        <v>914</v>
      </c>
      <c r="B267" s="1" t="s">
        <v>915</v>
      </c>
      <c r="C267" s="4" t="s">
        <v>44</v>
      </c>
      <c r="D267" s="1" t="s">
        <v>45</v>
      </c>
      <c r="E267" s="4" t="s">
        <v>124</v>
      </c>
      <c r="F267" s="1" t="s">
        <v>126</v>
      </c>
      <c r="G267" s="1"/>
      <c r="H267" s="1" t="s">
        <v>65</v>
      </c>
      <c r="I267" s="1" t="s">
        <v>1965</v>
      </c>
      <c r="J267" s="1">
        <v>20.0</v>
      </c>
      <c r="K267" s="1">
        <v>40.0</v>
      </c>
      <c r="L267" s="1">
        <v>1940.0</v>
      </c>
      <c r="M267" s="1">
        <v>6.0</v>
      </c>
      <c r="N267" s="1">
        <v>3.0</v>
      </c>
      <c r="O267" s="1">
        <v>2021.0</v>
      </c>
      <c r="P267" s="1" t="s">
        <v>105</v>
      </c>
      <c r="Q267" s="4" t="s">
        <v>51</v>
      </c>
      <c r="R267" s="1" t="s">
        <v>266</v>
      </c>
      <c r="S267" s="1" t="s">
        <v>106</v>
      </c>
      <c r="T267" s="4" t="s">
        <v>1811</v>
      </c>
      <c r="U267" s="1">
        <v>1925.0</v>
      </c>
      <c r="V267" s="1"/>
      <c r="W267" s="1"/>
      <c r="X267" s="4" t="s">
        <v>55</v>
      </c>
      <c r="Y267" s="4" t="s">
        <v>45</v>
      </c>
      <c r="Z267" s="1" t="s">
        <v>126</v>
      </c>
      <c r="AA267" s="1" t="s">
        <v>739</v>
      </c>
      <c r="AB267" s="1" t="s">
        <v>739</v>
      </c>
      <c r="AC267" s="1" t="s">
        <v>69</v>
      </c>
      <c r="AD267" s="1" t="s">
        <v>1873</v>
      </c>
      <c r="AE267" s="1" t="s">
        <v>60</v>
      </c>
      <c r="AF267" s="1" t="s">
        <v>1687</v>
      </c>
      <c r="AG267" s="4" t="s">
        <v>62</v>
      </c>
      <c r="AH267" s="1">
        <v>8.0</v>
      </c>
      <c r="AI267" s="1">
        <v>8.0</v>
      </c>
      <c r="AJ267" s="1">
        <v>8.0</v>
      </c>
      <c r="AK267" s="1">
        <f t="shared" si="1"/>
        <v>24</v>
      </c>
      <c r="AL267" s="1">
        <v>1.0</v>
      </c>
      <c r="AM267" s="1">
        <v>159.0</v>
      </c>
      <c r="AN267" s="1">
        <f t="shared" si="5"/>
        <v>159</v>
      </c>
      <c r="AO267" s="1">
        <f t="shared" si="6"/>
        <v>1.206289308</v>
      </c>
      <c r="AP267" s="4" t="s">
        <v>916</v>
      </c>
    </row>
    <row r="268" ht="12.75" customHeight="1">
      <c r="A268" s="1" t="s">
        <v>711</v>
      </c>
      <c r="B268" s="1" t="s">
        <v>714</v>
      </c>
      <c r="C268" s="4" t="s">
        <v>44</v>
      </c>
      <c r="D268" s="1" t="s">
        <v>99</v>
      </c>
      <c r="E268" s="1" t="s">
        <v>100</v>
      </c>
      <c r="F268" s="1" t="s">
        <v>108</v>
      </c>
      <c r="G268" s="1"/>
      <c r="H268" s="1" t="s">
        <v>65</v>
      </c>
      <c r="I268" s="1" t="s">
        <v>1863</v>
      </c>
      <c r="J268" s="1">
        <v>19.0</v>
      </c>
      <c r="K268" s="1">
        <v>90.0</v>
      </c>
      <c r="L268" s="1">
        <v>1892.0</v>
      </c>
      <c r="M268" s="1">
        <v>10.0</v>
      </c>
      <c r="N268" s="1">
        <v>3.0</v>
      </c>
      <c r="O268" s="1">
        <v>2021.0</v>
      </c>
      <c r="P268" s="1" t="s">
        <v>105</v>
      </c>
      <c r="Q268" s="4" t="s">
        <v>51</v>
      </c>
      <c r="R268" s="1" t="s">
        <v>266</v>
      </c>
      <c r="S268" s="1" t="s">
        <v>270</v>
      </c>
      <c r="T268" s="1" t="s">
        <v>1640</v>
      </c>
      <c r="U268" s="1">
        <v>1892.0</v>
      </c>
      <c r="V268" s="1"/>
      <c r="W268" s="1"/>
      <c r="X268" s="4" t="s">
        <v>55</v>
      </c>
      <c r="Y268" s="4" t="s">
        <v>99</v>
      </c>
      <c r="Z268" s="4" t="s">
        <v>101</v>
      </c>
      <c r="AA268" s="1" t="s">
        <v>1641</v>
      </c>
      <c r="AB268" s="1" t="s">
        <v>1641</v>
      </c>
      <c r="AC268" s="1" t="s">
        <v>1781</v>
      </c>
      <c r="AD268" s="1" t="s">
        <v>1889</v>
      </c>
      <c r="AE268" s="1" t="s">
        <v>60</v>
      </c>
      <c r="AF268" s="1" t="s">
        <v>1687</v>
      </c>
      <c r="AG268" s="4" t="s">
        <v>62</v>
      </c>
      <c r="AH268" s="1">
        <v>7.0</v>
      </c>
      <c r="AI268" s="1">
        <v>8.0</v>
      </c>
      <c r="AJ268" s="1">
        <v>7.0</v>
      </c>
      <c r="AK268" s="1">
        <f t="shared" si="1"/>
        <v>22</v>
      </c>
      <c r="AL268" s="1">
        <v>1.0</v>
      </c>
      <c r="AM268" s="1">
        <v>124.0</v>
      </c>
      <c r="AN268" s="1">
        <f t="shared" si="5"/>
        <v>124</v>
      </c>
      <c r="AO268" s="1">
        <f t="shared" si="6"/>
        <v>1.108064516</v>
      </c>
      <c r="AP268" s="4" t="s">
        <v>715</v>
      </c>
    </row>
    <row r="269" ht="12.75" customHeight="1">
      <c r="A269" s="1" t="s">
        <v>1199</v>
      </c>
      <c r="B269" s="1" t="s">
        <v>1200</v>
      </c>
      <c r="C269" s="4" t="s">
        <v>44</v>
      </c>
      <c r="D269" s="1" t="s">
        <v>45</v>
      </c>
      <c r="E269" s="4" t="s">
        <v>124</v>
      </c>
      <c r="F269" s="1" t="s">
        <v>126</v>
      </c>
      <c r="G269" s="1"/>
      <c r="H269" s="1" t="s">
        <v>48</v>
      </c>
      <c r="I269" s="1" t="s">
        <v>1838</v>
      </c>
      <c r="J269" s="1">
        <v>21.0</v>
      </c>
      <c r="K269" s="1">
        <v>10.0</v>
      </c>
      <c r="L269" s="1">
        <v>2016.0</v>
      </c>
      <c r="M269" s="1">
        <v>21.0</v>
      </c>
      <c r="N269" s="1">
        <v>3.0</v>
      </c>
      <c r="O269" s="1">
        <v>2021.0</v>
      </c>
      <c r="P269" s="1" t="s">
        <v>105</v>
      </c>
      <c r="Q269" s="4" t="s">
        <v>51</v>
      </c>
      <c r="R269" s="1" t="s">
        <v>52</v>
      </c>
      <c r="S269" s="1" t="s">
        <v>106</v>
      </c>
      <c r="T269" s="4" t="s">
        <v>106</v>
      </c>
      <c r="U269" s="1">
        <v>2016.0</v>
      </c>
      <c r="V269" s="1"/>
      <c r="W269" s="1"/>
      <c r="X269" s="4" t="s">
        <v>190</v>
      </c>
      <c r="Y269" s="4" t="s">
        <v>190</v>
      </c>
      <c r="Z269" s="4" t="s">
        <v>190</v>
      </c>
      <c r="AA269" s="4" t="s">
        <v>190</v>
      </c>
      <c r="AB269" s="4" t="s">
        <v>190</v>
      </c>
      <c r="AC269" s="1" t="s">
        <v>465</v>
      </c>
      <c r="AD269" s="1" t="s">
        <v>1881</v>
      </c>
      <c r="AE269" s="1" t="s">
        <v>60</v>
      </c>
      <c r="AF269" s="1" t="s">
        <v>1687</v>
      </c>
      <c r="AG269" s="4" t="s">
        <v>62</v>
      </c>
      <c r="AH269" s="1">
        <v>8.0</v>
      </c>
      <c r="AI269" s="1">
        <v>8.0</v>
      </c>
      <c r="AJ269" s="1">
        <v>7.0</v>
      </c>
      <c r="AK269" s="1">
        <f t="shared" si="1"/>
        <v>23</v>
      </c>
      <c r="AL269" s="1">
        <v>1.0</v>
      </c>
      <c r="AM269" s="1">
        <v>288.0</v>
      </c>
      <c r="AN269" s="1">
        <f t="shared" si="5"/>
        <v>288</v>
      </c>
      <c r="AO269" s="1">
        <f t="shared" si="6"/>
        <v>1.153472222</v>
      </c>
      <c r="AP269" s="4" t="s">
        <v>1201</v>
      </c>
    </row>
    <row r="270" ht="12.75" customHeight="1">
      <c r="A270" s="1" t="s">
        <v>1568</v>
      </c>
      <c r="B270" s="1" t="s">
        <v>1570</v>
      </c>
      <c r="C270" s="4" t="s">
        <v>44</v>
      </c>
      <c r="D270" s="1" t="s">
        <v>45</v>
      </c>
      <c r="E270" s="4" t="s">
        <v>124</v>
      </c>
      <c r="F270" s="1" t="s">
        <v>126</v>
      </c>
      <c r="G270" s="1"/>
      <c r="H270" s="1" t="s">
        <v>48</v>
      </c>
      <c r="I270" s="1" t="s">
        <v>421</v>
      </c>
      <c r="J270" s="1">
        <v>20.0</v>
      </c>
      <c r="K270" s="1">
        <v>70.0</v>
      </c>
      <c r="L270" s="1">
        <v>1973.0</v>
      </c>
      <c r="M270" s="1">
        <v>23.0</v>
      </c>
      <c r="N270" s="1">
        <v>3.0</v>
      </c>
      <c r="O270" s="1">
        <v>2021.0</v>
      </c>
      <c r="P270" s="1" t="s">
        <v>105</v>
      </c>
      <c r="Q270" s="4" t="s">
        <v>51</v>
      </c>
      <c r="R270" s="1" t="s">
        <v>52</v>
      </c>
      <c r="S270" s="1" t="s">
        <v>268</v>
      </c>
      <c r="T270" s="4" t="s">
        <v>1811</v>
      </c>
      <c r="U270" s="1">
        <v>1940.0</v>
      </c>
      <c r="V270" s="1"/>
      <c r="W270" s="1"/>
      <c r="X270" s="4" t="s">
        <v>55</v>
      </c>
      <c r="Y270" s="4" t="s">
        <v>45</v>
      </c>
      <c r="Z270" s="1" t="s">
        <v>126</v>
      </c>
      <c r="AA270" s="1" t="s">
        <v>1830</v>
      </c>
      <c r="AB270" s="1" t="s">
        <v>1966</v>
      </c>
      <c r="AC270" s="1" t="s">
        <v>58</v>
      </c>
      <c r="AD270" s="1" t="s">
        <v>1726</v>
      </c>
      <c r="AE270" s="1" t="s">
        <v>60</v>
      </c>
      <c r="AF270" s="1" t="s">
        <v>1687</v>
      </c>
      <c r="AG270" s="4" t="s">
        <v>62</v>
      </c>
      <c r="AH270" s="1">
        <v>9.0</v>
      </c>
      <c r="AI270" s="1">
        <v>9.0</v>
      </c>
      <c r="AJ270" s="1">
        <v>9.0</v>
      </c>
      <c r="AK270" s="1">
        <f t="shared" si="1"/>
        <v>27</v>
      </c>
      <c r="AL270" s="1">
        <v>1.0</v>
      </c>
      <c r="AM270" s="1">
        <v>192.0</v>
      </c>
      <c r="AN270" s="1">
        <f t="shared" si="5"/>
        <v>192</v>
      </c>
      <c r="AO270" s="1">
        <f t="shared" si="6"/>
        <v>1.355208333</v>
      </c>
      <c r="AP270" s="4" t="s">
        <v>1571</v>
      </c>
    </row>
    <row r="271" ht="12.75" customHeight="1">
      <c r="A271" s="1" t="s">
        <v>1406</v>
      </c>
      <c r="B271" s="1" t="s">
        <v>1407</v>
      </c>
      <c r="C271" s="4" t="s">
        <v>44</v>
      </c>
      <c r="D271" s="1" t="s">
        <v>99</v>
      </c>
      <c r="E271" s="1" t="s">
        <v>100</v>
      </c>
      <c r="F271" s="1" t="s">
        <v>101</v>
      </c>
      <c r="G271" s="1"/>
      <c r="H271" s="1" t="s">
        <v>48</v>
      </c>
      <c r="I271" s="1" t="s">
        <v>1684</v>
      </c>
      <c r="J271" s="1">
        <v>21.0</v>
      </c>
      <c r="K271" s="1">
        <v>10.0</v>
      </c>
      <c r="L271" s="1">
        <v>2019.0</v>
      </c>
      <c r="M271" s="1">
        <v>31.0</v>
      </c>
      <c r="N271" s="1">
        <v>3.0</v>
      </c>
      <c r="O271" s="1">
        <v>2021.0</v>
      </c>
      <c r="P271" s="1" t="s">
        <v>105</v>
      </c>
      <c r="Q271" s="4" t="s">
        <v>51</v>
      </c>
      <c r="R271" s="1" t="s">
        <v>52</v>
      </c>
      <c r="S271" s="1" t="s">
        <v>106</v>
      </c>
      <c r="T271" s="4" t="s">
        <v>106</v>
      </c>
      <c r="U271" s="1">
        <v>2019.0</v>
      </c>
      <c r="V271" s="1"/>
      <c r="W271" s="1"/>
      <c r="X271" s="4" t="s">
        <v>55</v>
      </c>
      <c r="Y271" s="4" t="s">
        <v>99</v>
      </c>
      <c r="Z271" s="4" t="s">
        <v>101</v>
      </c>
      <c r="AA271" s="1" t="s">
        <v>1967</v>
      </c>
      <c r="AB271" s="1" t="s">
        <v>1967</v>
      </c>
      <c r="AC271" s="1" t="s">
        <v>69</v>
      </c>
      <c r="AD271" s="1" t="s">
        <v>1968</v>
      </c>
      <c r="AE271" s="1" t="s">
        <v>60</v>
      </c>
      <c r="AF271" s="1" t="s">
        <v>1687</v>
      </c>
      <c r="AG271" s="4" t="s">
        <v>62</v>
      </c>
      <c r="AH271" s="1">
        <v>7.0</v>
      </c>
      <c r="AI271" s="1">
        <v>8.0</v>
      </c>
      <c r="AJ271" s="1">
        <v>8.0</v>
      </c>
      <c r="AK271" s="1">
        <f t="shared" si="1"/>
        <v>23</v>
      </c>
      <c r="AL271" s="1">
        <v>1.0</v>
      </c>
      <c r="AM271" s="1">
        <v>416.0</v>
      </c>
      <c r="AN271" s="1">
        <f t="shared" si="5"/>
        <v>416</v>
      </c>
      <c r="AO271" s="1">
        <f t="shared" si="6"/>
        <v>1.152403846</v>
      </c>
      <c r="AP271" s="4" t="s">
        <v>1408</v>
      </c>
    </row>
    <row r="272" ht="12.75" customHeight="1">
      <c r="A272" s="1" t="s">
        <v>982</v>
      </c>
      <c r="B272" s="1" t="s">
        <v>983</v>
      </c>
      <c r="C272" s="4" t="s">
        <v>44</v>
      </c>
      <c r="D272" s="1" t="s">
        <v>45</v>
      </c>
      <c r="E272" s="4" t="s">
        <v>124</v>
      </c>
      <c r="F272" s="1" t="s">
        <v>126</v>
      </c>
      <c r="G272" s="1"/>
      <c r="H272" s="1" t="s">
        <v>65</v>
      </c>
      <c r="I272" s="1" t="s">
        <v>1969</v>
      </c>
      <c r="J272" s="1">
        <v>20.0</v>
      </c>
      <c r="K272" s="1">
        <v>20.0</v>
      </c>
      <c r="L272" s="1">
        <v>1928.0</v>
      </c>
      <c r="M272" s="1">
        <v>8.0</v>
      </c>
      <c r="N272" s="1">
        <v>4.0</v>
      </c>
      <c r="O272" s="1">
        <v>2021.0</v>
      </c>
      <c r="P272" s="1" t="s">
        <v>105</v>
      </c>
      <c r="Q272" s="4" t="s">
        <v>51</v>
      </c>
      <c r="R272" s="1" t="s">
        <v>266</v>
      </c>
      <c r="S272" s="1" t="s">
        <v>247</v>
      </c>
      <c r="T272" s="4" t="s">
        <v>1811</v>
      </c>
      <c r="U272" s="1">
        <v>1928.0</v>
      </c>
      <c r="V272" s="1"/>
      <c r="W272" s="1"/>
      <c r="X272" s="4" t="s">
        <v>55</v>
      </c>
      <c r="Y272" s="4" t="s">
        <v>45</v>
      </c>
      <c r="Z272" s="1" t="s">
        <v>126</v>
      </c>
      <c r="AA272" s="4" t="s">
        <v>1970</v>
      </c>
      <c r="AB272" s="4" t="s">
        <v>1971</v>
      </c>
      <c r="AC272" s="1" t="s">
        <v>422</v>
      </c>
      <c r="AD272" s="1" t="s">
        <v>247</v>
      </c>
      <c r="AE272" s="1" t="s">
        <v>60</v>
      </c>
      <c r="AF272" s="1" t="s">
        <v>1687</v>
      </c>
      <c r="AG272" s="4" t="s">
        <v>62</v>
      </c>
      <c r="AH272" s="1">
        <v>7.0</v>
      </c>
      <c r="AI272" s="1">
        <v>7.0</v>
      </c>
      <c r="AJ272" s="1">
        <v>8.0</v>
      </c>
      <c r="AK272" s="1">
        <f t="shared" si="1"/>
        <v>22</v>
      </c>
      <c r="AL272" s="1">
        <v>1.0</v>
      </c>
      <c r="AM272" s="1">
        <v>175.0</v>
      </c>
      <c r="AN272" s="1">
        <f t="shared" si="5"/>
        <v>175</v>
      </c>
      <c r="AO272" s="1">
        <f t="shared" si="6"/>
        <v>1.105714286</v>
      </c>
      <c r="AP272" s="4" t="s">
        <v>984</v>
      </c>
    </row>
    <row r="273" ht="12.75" customHeight="1">
      <c r="A273" s="1" t="s">
        <v>847</v>
      </c>
      <c r="B273" s="1" t="s">
        <v>848</v>
      </c>
      <c r="C273" s="4" t="s">
        <v>44</v>
      </c>
      <c r="D273" s="1" t="s">
        <v>45</v>
      </c>
      <c r="E273" s="4" t="s">
        <v>124</v>
      </c>
      <c r="F273" s="1" t="s">
        <v>126</v>
      </c>
      <c r="G273" s="1"/>
      <c r="H273" s="1" t="s">
        <v>65</v>
      </c>
      <c r="I273" s="1" t="s">
        <v>1972</v>
      </c>
      <c r="J273" s="1">
        <v>20.0</v>
      </c>
      <c r="K273" s="1">
        <v>90.0</v>
      </c>
      <c r="L273" s="1">
        <v>1998.0</v>
      </c>
      <c r="M273" s="1">
        <v>16.0</v>
      </c>
      <c r="N273" s="1">
        <v>4.0</v>
      </c>
      <c r="O273" s="1">
        <v>2021.0</v>
      </c>
      <c r="P273" s="1" t="s">
        <v>105</v>
      </c>
      <c r="Q273" s="4" t="s">
        <v>51</v>
      </c>
      <c r="R273" s="4" t="s">
        <v>253</v>
      </c>
      <c r="S273" s="1" t="s">
        <v>256</v>
      </c>
      <c r="T273" s="4" t="s">
        <v>106</v>
      </c>
      <c r="U273" s="1">
        <v>1980.0</v>
      </c>
      <c r="V273" s="1"/>
      <c r="W273" s="1"/>
      <c r="X273" s="4" t="s">
        <v>139</v>
      </c>
      <c r="Y273" s="1" t="s">
        <v>139</v>
      </c>
      <c r="Z273" s="1" t="s">
        <v>139</v>
      </c>
      <c r="AA273" s="1" t="s">
        <v>139</v>
      </c>
      <c r="AB273" s="1" t="s">
        <v>139</v>
      </c>
      <c r="AC273" s="1" t="s">
        <v>58</v>
      </c>
      <c r="AD273" s="1" t="s">
        <v>1877</v>
      </c>
      <c r="AE273" s="1" t="s">
        <v>60</v>
      </c>
      <c r="AF273" s="1" t="s">
        <v>60</v>
      </c>
      <c r="AG273" s="4" t="s">
        <v>1715</v>
      </c>
      <c r="AH273" s="1">
        <v>7.0</v>
      </c>
      <c r="AI273" s="1">
        <v>6.0</v>
      </c>
      <c r="AJ273" s="1">
        <v>6.0</v>
      </c>
      <c r="AK273" s="1">
        <f t="shared" si="1"/>
        <v>19</v>
      </c>
      <c r="AL273" s="1">
        <v>1.0</v>
      </c>
      <c r="AM273" s="1">
        <v>269.0</v>
      </c>
      <c r="AN273" s="1">
        <f t="shared" si="5"/>
        <v>269</v>
      </c>
      <c r="AO273" s="1">
        <f t="shared" si="6"/>
        <v>0.9537174721</v>
      </c>
      <c r="AP273" s="4" t="s">
        <v>849</v>
      </c>
    </row>
    <row r="274" ht="12.75" customHeight="1">
      <c r="A274" s="1" t="s">
        <v>1412</v>
      </c>
      <c r="B274" s="1" t="s">
        <v>1413</v>
      </c>
      <c r="C274" s="4" t="s">
        <v>44</v>
      </c>
      <c r="D274" s="1" t="s">
        <v>45</v>
      </c>
      <c r="E274" s="4" t="s">
        <v>124</v>
      </c>
      <c r="F274" s="1" t="s">
        <v>126</v>
      </c>
      <c r="G274" s="1"/>
      <c r="H274" s="1" t="s">
        <v>65</v>
      </c>
      <c r="I274" s="1" t="s">
        <v>421</v>
      </c>
      <c r="J274" s="1">
        <v>21.0</v>
      </c>
      <c r="K274" s="1">
        <v>10.0</v>
      </c>
      <c r="L274" s="1">
        <v>2010.0</v>
      </c>
      <c r="M274" s="1">
        <v>26.0</v>
      </c>
      <c r="N274" s="1">
        <v>4.0</v>
      </c>
      <c r="O274" s="1">
        <v>2021.0</v>
      </c>
      <c r="P274" s="1" t="s">
        <v>105</v>
      </c>
      <c r="Q274" s="4" t="s">
        <v>51</v>
      </c>
      <c r="R274" s="1" t="s">
        <v>52</v>
      </c>
      <c r="S274" s="1" t="s">
        <v>106</v>
      </c>
      <c r="T274" s="4" t="s">
        <v>583</v>
      </c>
      <c r="U274" s="1">
        <v>1944.0</v>
      </c>
      <c r="V274" s="4">
        <v>7.0</v>
      </c>
      <c r="W274" s="1"/>
      <c r="X274" s="4" t="s">
        <v>55</v>
      </c>
      <c r="Y274" s="4" t="s">
        <v>45</v>
      </c>
      <c r="Z274" s="1" t="s">
        <v>126</v>
      </c>
      <c r="AA274" s="1" t="s">
        <v>1630</v>
      </c>
      <c r="AB274" s="1" t="s">
        <v>1973</v>
      </c>
      <c r="AC274" s="1" t="s">
        <v>1781</v>
      </c>
      <c r="AD274" s="1" t="s">
        <v>568</v>
      </c>
      <c r="AE274" s="1" t="s">
        <v>60</v>
      </c>
      <c r="AF274" s="1" t="s">
        <v>1687</v>
      </c>
      <c r="AG274" s="4" t="s">
        <v>62</v>
      </c>
      <c r="AH274" s="1">
        <v>8.0</v>
      </c>
      <c r="AI274" s="1">
        <v>8.0</v>
      </c>
      <c r="AJ274" s="1">
        <v>7.0</v>
      </c>
      <c r="AK274" s="1">
        <f t="shared" si="1"/>
        <v>23</v>
      </c>
      <c r="AL274" s="1">
        <v>1.0</v>
      </c>
      <c r="AM274" s="1">
        <v>199.0</v>
      </c>
      <c r="AN274" s="1">
        <f t="shared" si="5"/>
        <v>199</v>
      </c>
      <c r="AO274" s="1">
        <f t="shared" si="6"/>
        <v>1.155025126</v>
      </c>
      <c r="AP274" s="4" t="s">
        <v>1414</v>
      </c>
    </row>
    <row r="275" ht="12.75" customHeight="1">
      <c r="A275" s="1" t="s">
        <v>921</v>
      </c>
      <c r="B275" s="1" t="s">
        <v>922</v>
      </c>
      <c r="C275" s="4" t="s">
        <v>44</v>
      </c>
      <c r="D275" s="1" t="s">
        <v>45</v>
      </c>
      <c r="E275" s="1" t="s">
        <v>46</v>
      </c>
      <c r="F275" s="1" t="s">
        <v>47</v>
      </c>
      <c r="G275" s="1" t="s">
        <v>922</v>
      </c>
      <c r="H275" s="1" t="s">
        <v>65</v>
      </c>
      <c r="I275" s="1" t="s">
        <v>1789</v>
      </c>
      <c r="J275" s="1">
        <v>21.0</v>
      </c>
      <c r="K275" s="1">
        <v>20.0</v>
      </c>
      <c r="L275" s="1">
        <v>2021.0</v>
      </c>
      <c r="M275" s="1">
        <v>1.0</v>
      </c>
      <c r="N275" s="1">
        <v>5.0</v>
      </c>
      <c r="O275" s="1">
        <v>2021.0</v>
      </c>
      <c r="P275" s="1" t="s">
        <v>105</v>
      </c>
      <c r="Q275" s="4" t="s">
        <v>51</v>
      </c>
      <c r="R275" s="1" t="s">
        <v>52</v>
      </c>
      <c r="S275" s="1" t="s">
        <v>106</v>
      </c>
      <c r="T275" s="4" t="s">
        <v>1710</v>
      </c>
      <c r="U275" s="1">
        <v>2021.0</v>
      </c>
      <c r="V275" s="1"/>
      <c r="W275" s="1"/>
      <c r="X275" s="4" t="s">
        <v>55</v>
      </c>
      <c r="Y275" s="4" t="s">
        <v>45</v>
      </c>
      <c r="Z275" s="1" t="s">
        <v>47</v>
      </c>
      <c r="AA275" s="1" t="s">
        <v>226</v>
      </c>
      <c r="AB275" s="1" t="s">
        <v>1974</v>
      </c>
      <c r="AC275" s="1" t="s">
        <v>58</v>
      </c>
      <c r="AD275" s="1" t="s">
        <v>47</v>
      </c>
      <c r="AE275" s="1" t="s">
        <v>60</v>
      </c>
      <c r="AF275" s="1" t="s">
        <v>1687</v>
      </c>
      <c r="AG275" s="4" t="s">
        <v>62</v>
      </c>
      <c r="AH275" s="1">
        <v>7.0</v>
      </c>
      <c r="AI275" s="1">
        <v>8.0</v>
      </c>
      <c r="AJ275" s="1">
        <v>7.0</v>
      </c>
      <c r="AK275" s="1">
        <f t="shared" si="1"/>
        <v>22</v>
      </c>
      <c r="AL275" s="1">
        <v>1.0</v>
      </c>
      <c r="AM275" s="1">
        <v>320.0</v>
      </c>
      <c r="AN275" s="1">
        <f t="shared" si="5"/>
        <v>320</v>
      </c>
      <c r="AO275" s="1">
        <f t="shared" si="6"/>
        <v>1.103125</v>
      </c>
      <c r="AP275" s="4" t="s">
        <v>923</v>
      </c>
    </row>
    <row r="276" ht="12.75" customHeight="1">
      <c r="A276" s="1" t="s">
        <v>631</v>
      </c>
      <c r="B276" s="1" t="s">
        <v>632</v>
      </c>
      <c r="C276" s="4" t="s">
        <v>44</v>
      </c>
      <c r="D276" s="1" t="s">
        <v>94</v>
      </c>
      <c r="E276" s="1" t="s">
        <v>95</v>
      </c>
      <c r="F276" s="1" t="s">
        <v>116</v>
      </c>
      <c r="G276" s="4" t="s">
        <v>1975</v>
      </c>
      <c r="H276" s="1" t="s">
        <v>48</v>
      </c>
      <c r="I276" s="1" t="s">
        <v>1642</v>
      </c>
      <c r="J276" s="1">
        <v>21.0</v>
      </c>
      <c r="K276" s="1">
        <v>20.0</v>
      </c>
      <c r="L276" s="1">
        <v>2020.0</v>
      </c>
      <c r="M276" s="1">
        <v>15.0</v>
      </c>
      <c r="N276" s="1">
        <v>5.0</v>
      </c>
      <c r="O276" s="1">
        <v>2021.0</v>
      </c>
      <c r="P276" s="1" t="s">
        <v>105</v>
      </c>
      <c r="Q276" s="4" t="s">
        <v>51</v>
      </c>
      <c r="R276" s="1" t="s">
        <v>52</v>
      </c>
      <c r="S276" s="1" t="s">
        <v>271</v>
      </c>
      <c r="T276" s="4" t="s">
        <v>1710</v>
      </c>
      <c r="U276" s="1">
        <v>2020.0</v>
      </c>
      <c r="V276" s="1"/>
      <c r="W276" s="1"/>
      <c r="X276" s="4" t="s">
        <v>55</v>
      </c>
      <c r="Y276" s="4" t="s">
        <v>94</v>
      </c>
      <c r="Z276" s="1" t="s">
        <v>116</v>
      </c>
      <c r="AA276" s="4" t="s">
        <v>1938</v>
      </c>
      <c r="AB276" s="4" t="s">
        <v>1938</v>
      </c>
      <c r="AC276" s="1" t="s">
        <v>1781</v>
      </c>
      <c r="AD276" s="1" t="s">
        <v>1939</v>
      </c>
      <c r="AE276" s="1" t="s">
        <v>60</v>
      </c>
      <c r="AF276" s="1" t="s">
        <v>1687</v>
      </c>
      <c r="AG276" s="4" t="s">
        <v>62</v>
      </c>
      <c r="AH276" s="1">
        <v>8.0</v>
      </c>
      <c r="AI276" s="1">
        <v>7.0</v>
      </c>
      <c r="AJ276" s="1">
        <v>8.0</v>
      </c>
      <c r="AK276" s="1">
        <f t="shared" si="1"/>
        <v>23</v>
      </c>
      <c r="AL276" s="1">
        <v>1.0</v>
      </c>
      <c r="AM276" s="1">
        <v>349.0</v>
      </c>
      <c r="AN276" s="1">
        <f t="shared" si="5"/>
        <v>349</v>
      </c>
      <c r="AO276" s="1">
        <f t="shared" si="6"/>
        <v>1.15286533</v>
      </c>
      <c r="AP276" s="4" t="s">
        <v>633</v>
      </c>
    </row>
    <row r="277" ht="12.75" customHeight="1">
      <c r="A277" s="1" t="s">
        <v>1277</v>
      </c>
      <c r="B277" s="1" t="s">
        <v>1278</v>
      </c>
      <c r="C277" s="4" t="s">
        <v>44</v>
      </c>
      <c r="D277" s="1" t="s">
        <v>45</v>
      </c>
      <c r="E277" s="1" t="s">
        <v>46</v>
      </c>
      <c r="F277" s="1" t="s">
        <v>47</v>
      </c>
      <c r="G277" s="1" t="s">
        <v>1278</v>
      </c>
      <c r="H277" s="1" t="s">
        <v>48</v>
      </c>
      <c r="I277" s="1" t="s">
        <v>1776</v>
      </c>
      <c r="J277" s="1">
        <v>21.0</v>
      </c>
      <c r="K277" s="1">
        <v>20.0</v>
      </c>
      <c r="L277" s="1">
        <v>2021.0</v>
      </c>
      <c r="M277" s="1">
        <v>10.0</v>
      </c>
      <c r="N277" s="1">
        <v>6.0</v>
      </c>
      <c r="O277" s="1">
        <v>2021.0</v>
      </c>
      <c r="P277" s="1" t="s">
        <v>105</v>
      </c>
      <c r="Q277" s="4" t="s">
        <v>51</v>
      </c>
      <c r="R277" s="1" t="s">
        <v>52</v>
      </c>
      <c r="S277" s="1" t="s">
        <v>106</v>
      </c>
      <c r="T277" s="4" t="s">
        <v>1710</v>
      </c>
      <c r="U277" s="1">
        <v>2021.0</v>
      </c>
      <c r="V277" s="1"/>
      <c r="W277" s="1"/>
      <c r="X277" s="4" t="s">
        <v>55</v>
      </c>
      <c r="Y277" s="4" t="s">
        <v>45</v>
      </c>
      <c r="Z277" s="1" t="s">
        <v>47</v>
      </c>
      <c r="AA277" s="4" t="s">
        <v>1976</v>
      </c>
      <c r="AB277" s="4" t="s">
        <v>1977</v>
      </c>
      <c r="AC277" s="1" t="s">
        <v>69</v>
      </c>
      <c r="AD277" s="1" t="s">
        <v>47</v>
      </c>
      <c r="AE277" s="1" t="s">
        <v>60</v>
      </c>
      <c r="AF277" s="1" t="s">
        <v>1687</v>
      </c>
      <c r="AG277" s="4" t="s">
        <v>62</v>
      </c>
      <c r="AH277" s="1">
        <v>8.0</v>
      </c>
      <c r="AI277" s="1">
        <v>8.0</v>
      </c>
      <c r="AJ277" s="1">
        <v>7.0</v>
      </c>
      <c r="AK277" s="1">
        <f t="shared" si="1"/>
        <v>23</v>
      </c>
      <c r="AL277" s="1">
        <v>1.0</v>
      </c>
      <c r="AM277" s="1">
        <v>272.0</v>
      </c>
      <c r="AN277" s="1">
        <f t="shared" si="5"/>
        <v>272</v>
      </c>
      <c r="AO277" s="1">
        <f t="shared" si="6"/>
        <v>1.153676471</v>
      </c>
      <c r="AP277" s="4" t="s">
        <v>1279</v>
      </c>
    </row>
    <row r="278" ht="12.75" customHeight="1">
      <c r="A278" s="1" t="s">
        <v>1581</v>
      </c>
      <c r="B278" s="1" t="s">
        <v>1587</v>
      </c>
      <c r="C278" s="4" t="s">
        <v>44</v>
      </c>
      <c r="D278" s="1" t="s">
        <v>45</v>
      </c>
      <c r="E278" s="1" t="s">
        <v>46</v>
      </c>
      <c r="F278" s="1" t="s">
        <v>47</v>
      </c>
      <c r="G278" s="1" t="s">
        <v>1587</v>
      </c>
      <c r="H278" s="1" t="s">
        <v>73</v>
      </c>
      <c r="I278" s="1" t="s">
        <v>1863</v>
      </c>
      <c r="J278" s="1">
        <v>21.0</v>
      </c>
      <c r="K278" s="1">
        <v>20.0</v>
      </c>
      <c r="L278" s="1">
        <v>2021.0</v>
      </c>
      <c r="M278" s="1">
        <v>17.0</v>
      </c>
      <c r="N278" s="1">
        <v>6.0</v>
      </c>
      <c r="O278" s="1">
        <v>2021.0</v>
      </c>
      <c r="P278" s="1" t="s">
        <v>105</v>
      </c>
      <c r="Q278" s="4" t="s">
        <v>51</v>
      </c>
      <c r="R278" s="1" t="s">
        <v>266</v>
      </c>
      <c r="S278" s="1" t="s">
        <v>106</v>
      </c>
      <c r="T278" s="4" t="s">
        <v>1710</v>
      </c>
      <c r="U278" s="1">
        <v>2021.0</v>
      </c>
      <c r="V278" s="1"/>
      <c r="W278" s="1"/>
      <c r="X278" s="4" t="s">
        <v>55</v>
      </c>
      <c r="Y278" s="4" t="s">
        <v>45</v>
      </c>
      <c r="Z278" s="1" t="s">
        <v>47</v>
      </c>
      <c r="AA278" s="1" t="s">
        <v>139</v>
      </c>
      <c r="AB278" s="1" t="s">
        <v>139</v>
      </c>
      <c r="AC278" s="1" t="s">
        <v>58</v>
      </c>
      <c r="AD278" s="1" t="s">
        <v>47</v>
      </c>
      <c r="AE278" s="1" t="s">
        <v>60</v>
      </c>
      <c r="AF278" s="1" t="s">
        <v>1687</v>
      </c>
      <c r="AG278" s="4" t="s">
        <v>62</v>
      </c>
      <c r="AH278" s="1">
        <v>7.0</v>
      </c>
      <c r="AI278" s="1">
        <v>7.0</v>
      </c>
      <c r="AJ278" s="1">
        <v>7.0</v>
      </c>
      <c r="AK278" s="1">
        <f t="shared" si="1"/>
        <v>21</v>
      </c>
      <c r="AL278" s="1">
        <v>1.0</v>
      </c>
      <c r="AM278" s="1">
        <v>142.0</v>
      </c>
      <c r="AN278" s="1">
        <f t="shared" si="5"/>
        <v>142</v>
      </c>
      <c r="AO278" s="1">
        <f t="shared" si="6"/>
        <v>1.057042254</v>
      </c>
      <c r="AP278" s="1"/>
    </row>
    <row r="279" ht="12.75" customHeight="1">
      <c r="A279" s="1" t="s">
        <v>1581</v>
      </c>
      <c r="B279" s="1" t="s">
        <v>1588</v>
      </c>
      <c r="C279" s="4" t="s">
        <v>44</v>
      </c>
      <c r="D279" s="1" t="s">
        <v>45</v>
      </c>
      <c r="E279" s="1" t="s">
        <v>46</v>
      </c>
      <c r="F279" s="1" t="s">
        <v>47</v>
      </c>
      <c r="G279" s="1" t="s">
        <v>1588</v>
      </c>
      <c r="H279" s="1" t="s">
        <v>73</v>
      </c>
      <c r="I279" s="1" t="s">
        <v>1863</v>
      </c>
      <c r="J279" s="1">
        <v>21.0</v>
      </c>
      <c r="K279" s="1">
        <v>20.0</v>
      </c>
      <c r="L279" s="1">
        <v>2021.0</v>
      </c>
      <c r="M279" s="1">
        <v>21.0</v>
      </c>
      <c r="N279" s="1">
        <v>6.0</v>
      </c>
      <c r="O279" s="1">
        <v>2021.0</v>
      </c>
      <c r="P279" s="1" t="s">
        <v>105</v>
      </c>
      <c r="Q279" s="4" t="s">
        <v>51</v>
      </c>
      <c r="R279" s="1" t="s">
        <v>266</v>
      </c>
      <c r="S279" s="1" t="s">
        <v>106</v>
      </c>
      <c r="T279" s="4" t="s">
        <v>1710</v>
      </c>
      <c r="U279" s="1">
        <v>2021.0</v>
      </c>
      <c r="V279" s="1"/>
      <c r="W279" s="1"/>
      <c r="X279" s="4" t="s">
        <v>55</v>
      </c>
      <c r="Y279" s="4" t="s">
        <v>45</v>
      </c>
      <c r="Z279" s="1" t="s">
        <v>47</v>
      </c>
      <c r="AA279" s="1" t="s">
        <v>139</v>
      </c>
      <c r="AB279" s="1" t="s">
        <v>139</v>
      </c>
      <c r="AC279" s="1" t="s">
        <v>58</v>
      </c>
      <c r="AD279" s="1" t="s">
        <v>47</v>
      </c>
      <c r="AE279" s="1" t="s">
        <v>60</v>
      </c>
      <c r="AF279" s="1" t="s">
        <v>1687</v>
      </c>
      <c r="AG279" s="4" t="s">
        <v>62</v>
      </c>
      <c r="AH279" s="1">
        <v>8.0</v>
      </c>
      <c r="AI279" s="1">
        <v>7.0</v>
      </c>
      <c r="AJ279" s="1">
        <v>7.0</v>
      </c>
      <c r="AK279" s="1">
        <f t="shared" si="1"/>
        <v>22</v>
      </c>
      <c r="AL279" s="1">
        <v>1.0</v>
      </c>
      <c r="AM279" s="1">
        <v>179.0</v>
      </c>
      <c r="AN279" s="1">
        <f t="shared" si="5"/>
        <v>179</v>
      </c>
      <c r="AO279" s="1">
        <f t="shared" si="6"/>
        <v>1.105586592</v>
      </c>
      <c r="AP279" s="1"/>
    </row>
    <row r="280" ht="12.75" customHeight="1">
      <c r="A280" s="1" t="s">
        <v>1308</v>
      </c>
      <c r="B280" s="1" t="s">
        <v>1311</v>
      </c>
      <c r="C280" s="4" t="s">
        <v>44</v>
      </c>
      <c r="D280" s="1" t="s">
        <v>99</v>
      </c>
      <c r="E280" s="1" t="s">
        <v>173</v>
      </c>
      <c r="F280" s="1" t="s">
        <v>175</v>
      </c>
      <c r="G280" s="4" t="s">
        <v>1978</v>
      </c>
      <c r="H280" s="1" t="s">
        <v>48</v>
      </c>
      <c r="I280" s="1" t="s">
        <v>1668</v>
      </c>
      <c r="J280" s="1">
        <v>20.0</v>
      </c>
      <c r="K280" s="1">
        <v>70.0</v>
      </c>
      <c r="L280" s="1">
        <v>1974.0</v>
      </c>
      <c r="M280" s="1">
        <v>8.0</v>
      </c>
      <c r="N280" s="1">
        <v>7.0</v>
      </c>
      <c r="O280" s="1">
        <v>2021.0</v>
      </c>
      <c r="P280" s="1" t="s">
        <v>105</v>
      </c>
      <c r="Q280" s="4" t="s">
        <v>51</v>
      </c>
      <c r="R280" s="1" t="s">
        <v>52</v>
      </c>
      <c r="S280" s="1" t="s">
        <v>106</v>
      </c>
      <c r="T280" s="4" t="s">
        <v>1979</v>
      </c>
      <c r="U280" s="4">
        <v>1970.0</v>
      </c>
      <c r="V280" s="1"/>
      <c r="W280" s="1"/>
      <c r="X280" s="4" t="s">
        <v>55</v>
      </c>
      <c r="Y280" s="4" t="s">
        <v>99</v>
      </c>
      <c r="Z280" s="1" t="s">
        <v>175</v>
      </c>
      <c r="AA280" s="1" t="s">
        <v>1763</v>
      </c>
      <c r="AB280" s="1" t="s">
        <v>1980</v>
      </c>
      <c r="AC280" s="1" t="s">
        <v>1781</v>
      </c>
      <c r="AD280" s="1" t="s">
        <v>1981</v>
      </c>
      <c r="AE280" s="1" t="s">
        <v>60</v>
      </c>
      <c r="AF280" s="1" t="s">
        <v>1687</v>
      </c>
      <c r="AG280" s="4" t="s">
        <v>62</v>
      </c>
      <c r="AH280" s="1">
        <v>9.0</v>
      </c>
      <c r="AI280" s="1">
        <v>8.0</v>
      </c>
      <c r="AJ280" s="1">
        <v>8.0</v>
      </c>
      <c r="AK280" s="1">
        <f t="shared" si="1"/>
        <v>25</v>
      </c>
      <c r="AL280" s="1">
        <v>1.0</v>
      </c>
      <c r="AM280" s="1">
        <v>320.0</v>
      </c>
      <c r="AN280" s="1">
        <f t="shared" si="5"/>
        <v>320</v>
      </c>
      <c r="AO280" s="1">
        <f t="shared" si="6"/>
        <v>1.253125</v>
      </c>
      <c r="AP280" s="4" t="s">
        <v>1312</v>
      </c>
    </row>
    <row r="281" ht="12.75" customHeight="1">
      <c r="A281" s="1" t="s">
        <v>896</v>
      </c>
      <c r="B281" s="1" t="s">
        <v>897</v>
      </c>
      <c r="C281" s="4" t="s">
        <v>44</v>
      </c>
      <c r="D281" s="1" t="s">
        <v>45</v>
      </c>
      <c r="E281" s="4" t="s">
        <v>124</v>
      </c>
      <c r="F281" s="1" t="s">
        <v>126</v>
      </c>
      <c r="G281" s="1"/>
      <c r="H281" s="1" t="s">
        <v>48</v>
      </c>
      <c r="I281" s="1" t="s">
        <v>1789</v>
      </c>
      <c r="J281" s="1">
        <v>21.0</v>
      </c>
      <c r="K281" s="1">
        <v>20.0</v>
      </c>
      <c r="L281" s="1">
        <v>2020.0</v>
      </c>
      <c r="M281" s="1">
        <v>30.0</v>
      </c>
      <c r="N281" s="1">
        <v>7.0</v>
      </c>
      <c r="O281" s="1">
        <v>2021.0</v>
      </c>
      <c r="P281" s="1" t="s">
        <v>105</v>
      </c>
      <c r="Q281" s="4" t="s">
        <v>51</v>
      </c>
      <c r="R281" s="1" t="s">
        <v>52</v>
      </c>
      <c r="S281" s="1" t="s">
        <v>106</v>
      </c>
      <c r="T281" s="4" t="s">
        <v>1710</v>
      </c>
      <c r="U281" s="1">
        <v>2020.0</v>
      </c>
      <c r="V281" s="1"/>
      <c r="W281" s="1"/>
      <c r="X281" s="4" t="s">
        <v>55</v>
      </c>
      <c r="Y281" s="4" t="s">
        <v>45</v>
      </c>
      <c r="Z281" s="1" t="s">
        <v>126</v>
      </c>
      <c r="AA281" s="1" t="s">
        <v>739</v>
      </c>
      <c r="AB281" s="1" t="s">
        <v>1982</v>
      </c>
      <c r="AC281" s="1" t="s">
        <v>465</v>
      </c>
      <c r="AD281" s="1" t="s">
        <v>1873</v>
      </c>
      <c r="AE281" s="1" t="s">
        <v>60</v>
      </c>
      <c r="AF281" s="1" t="s">
        <v>1687</v>
      </c>
      <c r="AG281" s="4" t="s">
        <v>62</v>
      </c>
      <c r="AH281" s="1">
        <v>7.0</v>
      </c>
      <c r="AI281" s="1">
        <v>8.0</v>
      </c>
      <c r="AJ281" s="1">
        <v>7.0</v>
      </c>
      <c r="AK281" s="1">
        <f t="shared" si="1"/>
        <v>22</v>
      </c>
      <c r="AL281" s="1">
        <v>1.0</v>
      </c>
      <c r="AM281" s="1">
        <v>350.0</v>
      </c>
      <c r="AN281" s="1">
        <f t="shared" si="5"/>
        <v>350</v>
      </c>
      <c r="AO281" s="1">
        <f t="shared" si="6"/>
        <v>1.102857143</v>
      </c>
      <c r="AP281" s="4" t="s">
        <v>898</v>
      </c>
    </row>
    <row r="282" ht="12.75" customHeight="1">
      <c r="A282" s="1" t="s">
        <v>1313</v>
      </c>
      <c r="B282" s="1" t="s">
        <v>1314</v>
      </c>
      <c r="C282" s="4" t="s">
        <v>44</v>
      </c>
      <c r="D282" s="1" t="s">
        <v>94</v>
      </c>
      <c r="E282" s="1" t="s">
        <v>95</v>
      </c>
      <c r="F282" s="1" t="s">
        <v>114</v>
      </c>
      <c r="G282" s="1"/>
      <c r="H282" s="1" t="s">
        <v>65</v>
      </c>
      <c r="I282" s="1" t="s">
        <v>421</v>
      </c>
      <c r="J282" s="1">
        <v>21.0</v>
      </c>
      <c r="K282" s="1">
        <v>20.0</v>
      </c>
      <c r="L282" s="1">
        <v>2020.0</v>
      </c>
      <c r="M282" s="1">
        <v>22.0</v>
      </c>
      <c r="N282" s="1">
        <v>8.0</v>
      </c>
      <c r="O282" s="1">
        <v>2021.0</v>
      </c>
      <c r="P282" s="1" t="s">
        <v>105</v>
      </c>
      <c r="Q282" s="4" t="s">
        <v>51</v>
      </c>
      <c r="R282" s="1" t="s">
        <v>52</v>
      </c>
      <c r="S282" s="1" t="s">
        <v>271</v>
      </c>
      <c r="T282" s="4" t="s">
        <v>1710</v>
      </c>
      <c r="U282" s="1">
        <v>2020.0</v>
      </c>
      <c r="V282" s="1"/>
      <c r="W282" s="1"/>
      <c r="X282" s="4" t="s">
        <v>55</v>
      </c>
      <c r="Y282" s="4" t="s">
        <v>94</v>
      </c>
      <c r="Z282" s="1" t="s">
        <v>114</v>
      </c>
      <c r="AA282" s="1" t="s">
        <v>1983</v>
      </c>
      <c r="AB282" s="1" t="s">
        <v>1984</v>
      </c>
      <c r="AC282" s="1" t="s">
        <v>19</v>
      </c>
      <c r="AD282" s="1" t="s">
        <v>1909</v>
      </c>
      <c r="AE282" s="1" t="s">
        <v>60</v>
      </c>
      <c r="AF282" s="1" t="s">
        <v>1687</v>
      </c>
      <c r="AG282" s="4" t="s">
        <v>62</v>
      </c>
      <c r="AH282" s="1">
        <v>7.0</v>
      </c>
      <c r="AI282" s="1">
        <v>6.0</v>
      </c>
      <c r="AJ282" s="1">
        <v>6.0</v>
      </c>
      <c r="AK282" s="1">
        <f t="shared" si="1"/>
        <v>19</v>
      </c>
      <c r="AL282" s="1">
        <v>1.0</v>
      </c>
      <c r="AM282" s="1">
        <v>296.0</v>
      </c>
      <c r="AN282" s="1">
        <f t="shared" si="5"/>
        <v>296</v>
      </c>
      <c r="AO282" s="1">
        <f t="shared" si="6"/>
        <v>0.9533783784</v>
      </c>
      <c r="AP282" s="4" t="s">
        <v>1315</v>
      </c>
    </row>
    <row r="283" ht="12.75" customHeight="1">
      <c r="A283" s="1" t="s">
        <v>1296</v>
      </c>
      <c r="B283" s="1" t="s">
        <v>1297</v>
      </c>
      <c r="C283" s="4" t="s">
        <v>44</v>
      </c>
      <c r="D283" s="1" t="s">
        <v>99</v>
      </c>
      <c r="E283" s="1" t="s">
        <v>100</v>
      </c>
      <c r="F283" s="1" t="s">
        <v>101</v>
      </c>
      <c r="G283" s="1"/>
      <c r="H283" s="1" t="s">
        <v>65</v>
      </c>
      <c r="I283" s="1" t="s">
        <v>486</v>
      </c>
      <c r="J283" s="1">
        <v>21.0</v>
      </c>
      <c r="K283" s="1">
        <v>20.0</v>
      </c>
      <c r="L283" s="1">
        <v>2021.0</v>
      </c>
      <c r="M283" s="1">
        <v>6.0</v>
      </c>
      <c r="N283" s="1">
        <v>9.0</v>
      </c>
      <c r="O283" s="1">
        <v>2021.0</v>
      </c>
      <c r="P283" s="1" t="s">
        <v>105</v>
      </c>
      <c r="Q283" s="4" t="s">
        <v>51</v>
      </c>
      <c r="R283" s="1" t="s">
        <v>52</v>
      </c>
      <c r="S283" s="1" t="s">
        <v>30</v>
      </c>
      <c r="T283" s="4" t="s">
        <v>1710</v>
      </c>
      <c r="U283" s="1">
        <v>2021.0</v>
      </c>
      <c r="V283" s="1"/>
      <c r="W283" s="1"/>
      <c r="X283" s="4" t="s">
        <v>55</v>
      </c>
      <c r="Y283" s="4" t="s">
        <v>99</v>
      </c>
      <c r="Z283" s="4" t="s">
        <v>101</v>
      </c>
      <c r="AA283" s="1" t="s">
        <v>1985</v>
      </c>
      <c r="AB283" s="1" t="s">
        <v>1986</v>
      </c>
      <c r="AC283" s="1" t="s">
        <v>1781</v>
      </c>
      <c r="AD283" s="1" t="s">
        <v>556</v>
      </c>
      <c r="AE283" s="1" t="s">
        <v>1987</v>
      </c>
      <c r="AF283" s="1" t="s">
        <v>1687</v>
      </c>
      <c r="AG283" s="4" t="s">
        <v>62</v>
      </c>
      <c r="AH283" s="1">
        <v>8.0</v>
      </c>
      <c r="AI283" s="1">
        <v>7.0</v>
      </c>
      <c r="AJ283" s="1">
        <v>6.0</v>
      </c>
      <c r="AK283" s="1">
        <f t="shared" si="1"/>
        <v>21</v>
      </c>
      <c r="AL283" s="1">
        <v>1.0</v>
      </c>
      <c r="AM283" s="1">
        <v>320.0</v>
      </c>
      <c r="AN283" s="1">
        <f t="shared" si="5"/>
        <v>320</v>
      </c>
      <c r="AO283" s="1">
        <f t="shared" si="6"/>
        <v>1.053125</v>
      </c>
      <c r="AP283" s="4" t="s">
        <v>1298</v>
      </c>
    </row>
    <row r="284" ht="12.75" customHeight="1">
      <c r="A284" s="1" t="s">
        <v>1346</v>
      </c>
      <c r="B284" s="1" t="s">
        <v>1347</v>
      </c>
      <c r="C284" s="4" t="s">
        <v>44</v>
      </c>
      <c r="D284" s="1" t="s">
        <v>94</v>
      </c>
      <c r="E284" s="1" t="s">
        <v>95</v>
      </c>
      <c r="F284" s="1" t="s">
        <v>118</v>
      </c>
      <c r="G284" s="4" t="s">
        <v>1988</v>
      </c>
      <c r="H284" s="1" t="s">
        <v>65</v>
      </c>
      <c r="I284" s="1" t="s">
        <v>1729</v>
      </c>
      <c r="J284" s="1">
        <v>21.0</v>
      </c>
      <c r="K284" s="1">
        <v>10.0</v>
      </c>
      <c r="L284" s="1">
        <v>2010.0</v>
      </c>
      <c r="M284" s="1">
        <v>19.0</v>
      </c>
      <c r="N284" s="1">
        <v>9.0</v>
      </c>
      <c r="O284" s="1">
        <v>2021.0</v>
      </c>
      <c r="P284" s="1" t="s">
        <v>105</v>
      </c>
      <c r="Q284" s="4" t="s">
        <v>51</v>
      </c>
      <c r="R284" s="4" t="s">
        <v>136</v>
      </c>
      <c r="S284" s="4" t="s">
        <v>138</v>
      </c>
      <c r="T284" s="4" t="s">
        <v>1989</v>
      </c>
      <c r="U284" s="4">
        <v>1952.0</v>
      </c>
      <c r="V284" s="1"/>
      <c r="W284" s="1"/>
      <c r="X284" s="4" t="s">
        <v>55</v>
      </c>
      <c r="Y284" s="4" t="s">
        <v>94</v>
      </c>
      <c r="Z284" s="1" t="s">
        <v>118</v>
      </c>
      <c r="AA284" s="1" t="s">
        <v>1990</v>
      </c>
      <c r="AB284" s="1" t="s">
        <v>1991</v>
      </c>
      <c r="AC284" s="1" t="s">
        <v>1781</v>
      </c>
      <c r="AD284" s="1" t="s">
        <v>1992</v>
      </c>
      <c r="AE284" s="1" t="s">
        <v>60</v>
      </c>
      <c r="AF284" s="1" t="s">
        <v>1687</v>
      </c>
      <c r="AG284" s="4" t="s">
        <v>62</v>
      </c>
      <c r="AH284" s="1">
        <v>8.0</v>
      </c>
      <c r="AI284" s="1">
        <v>7.0</v>
      </c>
      <c r="AJ284" s="1">
        <v>8.0</v>
      </c>
      <c r="AK284" s="1">
        <f t="shared" si="1"/>
        <v>23</v>
      </c>
      <c r="AL284" s="1">
        <v>1.0</v>
      </c>
      <c r="AM284" s="1">
        <v>245.0</v>
      </c>
      <c r="AN284" s="1">
        <f t="shared" si="5"/>
        <v>245</v>
      </c>
      <c r="AO284" s="1">
        <f t="shared" si="6"/>
        <v>1.154081633</v>
      </c>
      <c r="AP284" s="4" t="s">
        <v>1348</v>
      </c>
    </row>
    <row r="285" ht="12.75" customHeight="1">
      <c r="A285" s="1" t="s">
        <v>1271</v>
      </c>
      <c r="B285" s="1" t="s">
        <v>1272</v>
      </c>
      <c r="C285" s="4" t="s">
        <v>44</v>
      </c>
      <c r="D285" s="1" t="s">
        <v>99</v>
      </c>
      <c r="E285" s="1" t="s">
        <v>100</v>
      </c>
      <c r="F285" s="1" t="s">
        <v>101</v>
      </c>
      <c r="G285" s="4" t="s">
        <v>1993</v>
      </c>
      <c r="H285" s="1" t="s">
        <v>48</v>
      </c>
      <c r="I285" s="1" t="s">
        <v>1668</v>
      </c>
      <c r="J285" s="1">
        <v>21.0</v>
      </c>
      <c r="K285" s="1">
        <v>20.0</v>
      </c>
      <c r="L285" s="1">
        <v>2020.0</v>
      </c>
      <c r="M285" s="1">
        <v>1.0</v>
      </c>
      <c r="N285" s="1">
        <v>10.0</v>
      </c>
      <c r="O285" s="1">
        <v>2021.0</v>
      </c>
      <c r="P285" s="1" t="s">
        <v>105</v>
      </c>
      <c r="Q285" s="4" t="s">
        <v>51</v>
      </c>
      <c r="R285" s="1" t="s">
        <v>52</v>
      </c>
      <c r="S285" s="1" t="s">
        <v>106</v>
      </c>
      <c r="T285" s="4" t="s">
        <v>1710</v>
      </c>
      <c r="U285" s="1">
        <v>2020.0</v>
      </c>
      <c r="V285" s="1"/>
      <c r="W285" s="1"/>
      <c r="X285" s="4" t="s">
        <v>55</v>
      </c>
      <c r="Y285" s="4" t="s">
        <v>99</v>
      </c>
      <c r="Z285" s="1" t="s">
        <v>108</v>
      </c>
      <c r="AA285" s="1" t="s">
        <v>1994</v>
      </c>
      <c r="AB285" s="1" t="s">
        <v>1994</v>
      </c>
      <c r="AC285" s="1" t="s">
        <v>1781</v>
      </c>
      <c r="AD285" s="1" t="s">
        <v>1995</v>
      </c>
      <c r="AE285" s="1" t="s">
        <v>60</v>
      </c>
      <c r="AF285" s="1" t="s">
        <v>1687</v>
      </c>
      <c r="AG285" s="4" t="s">
        <v>62</v>
      </c>
      <c r="AH285" s="1">
        <v>7.0</v>
      </c>
      <c r="AI285" s="1">
        <v>8.0</v>
      </c>
      <c r="AJ285" s="1">
        <v>8.0</v>
      </c>
      <c r="AK285" s="1">
        <f t="shared" si="1"/>
        <v>23</v>
      </c>
      <c r="AL285" s="1">
        <v>1.0</v>
      </c>
      <c r="AM285" s="1">
        <v>351.0</v>
      </c>
      <c r="AN285" s="1">
        <f t="shared" si="5"/>
        <v>351</v>
      </c>
      <c r="AO285" s="1">
        <f t="shared" si="6"/>
        <v>1.152849003</v>
      </c>
      <c r="AP285" s="4" t="s">
        <v>1273</v>
      </c>
    </row>
    <row r="286" ht="12.75" customHeight="1">
      <c r="A286" s="1" t="s">
        <v>1280</v>
      </c>
      <c r="B286" s="1" t="s">
        <v>1281</v>
      </c>
      <c r="C286" s="4" t="s">
        <v>44</v>
      </c>
      <c r="D286" s="1" t="s">
        <v>45</v>
      </c>
      <c r="E286" s="1" t="s">
        <v>46</v>
      </c>
      <c r="F286" s="1" t="s">
        <v>137</v>
      </c>
      <c r="G286" s="4" t="s">
        <v>1996</v>
      </c>
      <c r="H286" s="1" t="s">
        <v>65</v>
      </c>
      <c r="I286" s="1" t="s">
        <v>1997</v>
      </c>
      <c r="J286" s="1">
        <v>20.0</v>
      </c>
      <c r="K286" s="1">
        <v>60.0</v>
      </c>
      <c r="L286" s="1">
        <v>1960.0</v>
      </c>
      <c r="M286" s="1">
        <v>15.0</v>
      </c>
      <c r="N286" s="1">
        <v>10.0</v>
      </c>
      <c r="O286" s="1">
        <v>2021.0</v>
      </c>
      <c r="P286" s="1" t="s">
        <v>105</v>
      </c>
      <c r="Q286" s="4" t="s">
        <v>51</v>
      </c>
      <c r="R286" s="1" t="s">
        <v>52</v>
      </c>
      <c r="S286" s="4" t="s">
        <v>301</v>
      </c>
      <c r="T286" s="4" t="s">
        <v>1998</v>
      </c>
      <c r="U286" s="1">
        <v>1955.0</v>
      </c>
      <c r="V286" s="1"/>
      <c r="W286" s="1"/>
      <c r="X286" s="4" t="s">
        <v>55</v>
      </c>
      <c r="Y286" s="4" t="s">
        <v>45</v>
      </c>
      <c r="Z286" s="1" t="s">
        <v>137</v>
      </c>
      <c r="AA286" s="1" t="s">
        <v>1999</v>
      </c>
      <c r="AB286" s="1" t="s">
        <v>1999</v>
      </c>
      <c r="AC286" s="1" t="s">
        <v>1781</v>
      </c>
      <c r="AD286" s="1" t="s">
        <v>2000</v>
      </c>
      <c r="AE286" s="1" t="s">
        <v>60</v>
      </c>
      <c r="AF286" s="1" t="s">
        <v>1687</v>
      </c>
      <c r="AG286" s="4" t="s">
        <v>62</v>
      </c>
      <c r="AH286" s="1">
        <v>8.0</v>
      </c>
      <c r="AI286" s="1">
        <v>8.0</v>
      </c>
      <c r="AJ286" s="1">
        <v>8.0</v>
      </c>
      <c r="AK286" s="1">
        <f t="shared" si="1"/>
        <v>24</v>
      </c>
      <c r="AL286" s="1">
        <v>1.0</v>
      </c>
      <c r="AM286" s="1">
        <v>205.0</v>
      </c>
      <c r="AN286" s="1">
        <f t="shared" si="5"/>
        <v>205</v>
      </c>
      <c r="AO286" s="1">
        <f t="shared" si="6"/>
        <v>1.204878049</v>
      </c>
      <c r="AP286" s="4" t="s">
        <v>1282</v>
      </c>
    </row>
    <row r="287" ht="12.75" customHeight="1">
      <c r="A287" s="1" t="s">
        <v>1400</v>
      </c>
      <c r="B287" s="1" t="s">
        <v>1401</v>
      </c>
      <c r="C287" s="4" t="s">
        <v>44</v>
      </c>
      <c r="D287" s="1" t="s">
        <v>99</v>
      </c>
      <c r="E287" s="1" t="s">
        <v>100</v>
      </c>
      <c r="F287" s="1" t="s">
        <v>101</v>
      </c>
      <c r="G287" s="1"/>
      <c r="H287" s="1" t="s">
        <v>48</v>
      </c>
      <c r="I287" s="1" t="s">
        <v>428</v>
      </c>
      <c r="J287" s="1">
        <v>21.0</v>
      </c>
      <c r="K287" s="1">
        <v>10.0</v>
      </c>
      <c r="L287" s="1">
        <v>2019.0</v>
      </c>
      <c r="M287" s="1">
        <v>28.0</v>
      </c>
      <c r="N287" s="1">
        <v>10.0</v>
      </c>
      <c r="O287" s="1">
        <v>2021.0</v>
      </c>
      <c r="P287" s="1" t="s">
        <v>105</v>
      </c>
      <c r="Q287" s="4" t="s">
        <v>51</v>
      </c>
      <c r="R287" s="1" t="s">
        <v>52</v>
      </c>
      <c r="S287" s="1" t="s">
        <v>270</v>
      </c>
      <c r="T287" s="4" t="s">
        <v>106</v>
      </c>
      <c r="U287" s="1">
        <v>2019.0</v>
      </c>
      <c r="V287" s="1"/>
      <c r="W287" s="1"/>
      <c r="X287" s="4" t="s">
        <v>55</v>
      </c>
      <c r="Y287" s="4" t="s">
        <v>99</v>
      </c>
      <c r="Z287" s="4" t="s">
        <v>101</v>
      </c>
      <c r="AA287" s="1" t="s">
        <v>1641</v>
      </c>
      <c r="AB287" s="1" t="s">
        <v>1641</v>
      </c>
      <c r="AC287" s="1" t="s">
        <v>1781</v>
      </c>
      <c r="AD287" s="1" t="s">
        <v>479</v>
      </c>
      <c r="AE287" s="1" t="s">
        <v>60</v>
      </c>
      <c r="AF287" s="1" t="s">
        <v>1687</v>
      </c>
      <c r="AG287" s="4" t="s">
        <v>62</v>
      </c>
      <c r="AH287" s="1">
        <v>7.0</v>
      </c>
      <c r="AI287" s="1">
        <v>8.0</v>
      </c>
      <c r="AJ287" s="1">
        <v>7.0</v>
      </c>
      <c r="AK287" s="1">
        <f t="shared" si="1"/>
        <v>22</v>
      </c>
      <c r="AL287" s="1">
        <v>1.0</v>
      </c>
      <c r="AM287" s="1">
        <v>320.0</v>
      </c>
      <c r="AN287" s="1">
        <f t="shared" si="5"/>
        <v>320</v>
      </c>
      <c r="AO287" s="1">
        <f t="shared" si="6"/>
        <v>1.103125</v>
      </c>
      <c r="AP287" s="4" t="s">
        <v>1402</v>
      </c>
    </row>
    <row r="288" ht="12.75" customHeight="1">
      <c r="A288" s="1" t="s">
        <v>1287</v>
      </c>
      <c r="B288" s="1" t="s">
        <v>1288</v>
      </c>
      <c r="C288" s="4" t="s">
        <v>44</v>
      </c>
      <c r="D288" s="1" t="s">
        <v>99</v>
      </c>
      <c r="E288" s="1" t="s">
        <v>173</v>
      </c>
      <c r="F288" s="1" t="s">
        <v>175</v>
      </c>
      <c r="G288" s="4" t="s">
        <v>2001</v>
      </c>
      <c r="H288" s="1" t="s">
        <v>48</v>
      </c>
      <c r="I288" s="1" t="s">
        <v>1684</v>
      </c>
      <c r="J288" s="1">
        <v>21.0</v>
      </c>
      <c r="K288" s="1">
        <v>10.0</v>
      </c>
      <c r="L288" s="1">
        <v>2018.0</v>
      </c>
      <c r="M288" s="1">
        <v>9.0</v>
      </c>
      <c r="N288" s="1">
        <v>11.0</v>
      </c>
      <c r="O288" s="1">
        <v>2021.0</v>
      </c>
      <c r="P288" s="1" t="s">
        <v>105</v>
      </c>
      <c r="Q288" s="4" t="s">
        <v>51</v>
      </c>
      <c r="R288" s="1" t="s">
        <v>52</v>
      </c>
      <c r="S288" s="1" t="s">
        <v>106</v>
      </c>
      <c r="T288" s="4" t="s">
        <v>106</v>
      </c>
      <c r="U288" s="1">
        <v>2018.0</v>
      </c>
      <c r="V288" s="1"/>
      <c r="W288" s="1"/>
      <c r="X288" s="4" t="s">
        <v>55</v>
      </c>
      <c r="Y288" s="4" t="s">
        <v>99</v>
      </c>
      <c r="Z288" s="4" t="s">
        <v>175</v>
      </c>
      <c r="AA288" s="1" t="s">
        <v>1763</v>
      </c>
      <c r="AB288" s="1" t="s">
        <v>1980</v>
      </c>
      <c r="AC288" s="1" t="s">
        <v>69</v>
      </c>
      <c r="AD288" s="1" t="s">
        <v>479</v>
      </c>
      <c r="AE288" s="1" t="s">
        <v>60</v>
      </c>
      <c r="AF288" s="1" t="s">
        <v>1687</v>
      </c>
      <c r="AG288" s="4" t="s">
        <v>62</v>
      </c>
      <c r="AH288" s="1">
        <v>8.0</v>
      </c>
      <c r="AI288" s="1">
        <v>7.0</v>
      </c>
      <c r="AJ288" s="1">
        <v>7.0</v>
      </c>
      <c r="AK288" s="1">
        <f t="shared" si="1"/>
        <v>22</v>
      </c>
      <c r="AL288" s="1">
        <v>1.0</v>
      </c>
      <c r="AM288" s="1">
        <v>239.0</v>
      </c>
      <c r="AN288" s="1">
        <f t="shared" si="5"/>
        <v>239</v>
      </c>
      <c r="AO288" s="1">
        <f t="shared" si="6"/>
        <v>1.1041841</v>
      </c>
      <c r="AP288" s="4" t="s">
        <v>1289</v>
      </c>
    </row>
    <row r="289" ht="12.75" customHeight="1">
      <c r="A289" s="1" t="s">
        <v>1578</v>
      </c>
      <c r="B289" s="1" t="s">
        <v>1579</v>
      </c>
      <c r="C289" s="4" t="s">
        <v>44</v>
      </c>
      <c r="D289" s="1" t="s">
        <v>45</v>
      </c>
      <c r="E289" s="1" t="s">
        <v>46</v>
      </c>
      <c r="F289" s="1" t="s">
        <v>47</v>
      </c>
      <c r="G289" s="1" t="s">
        <v>1579</v>
      </c>
      <c r="H289" s="1" t="s">
        <v>65</v>
      </c>
      <c r="I289" s="1" t="s">
        <v>2002</v>
      </c>
      <c r="J289" s="1">
        <v>21.0</v>
      </c>
      <c r="K289" s="1">
        <v>20.0</v>
      </c>
      <c r="L289" s="1">
        <v>2020.0</v>
      </c>
      <c r="M289" s="1">
        <v>18.0</v>
      </c>
      <c r="N289" s="1">
        <v>11.0</v>
      </c>
      <c r="O289" s="1">
        <v>2021.0</v>
      </c>
      <c r="P289" s="1" t="s">
        <v>105</v>
      </c>
      <c r="Q289" s="4" t="s">
        <v>51</v>
      </c>
      <c r="R289" s="1" t="s">
        <v>136</v>
      </c>
      <c r="S289" s="1" t="s">
        <v>136</v>
      </c>
      <c r="T289" s="4" t="s">
        <v>91</v>
      </c>
      <c r="U289" s="1">
        <v>2002.0</v>
      </c>
      <c r="V289" s="1"/>
      <c r="W289" s="1"/>
      <c r="X289" s="4" t="s">
        <v>55</v>
      </c>
      <c r="Y289" s="4" t="s">
        <v>45</v>
      </c>
      <c r="Z289" s="1" t="s">
        <v>47</v>
      </c>
      <c r="AA289" s="1" t="s">
        <v>56</v>
      </c>
      <c r="AB289" s="1" t="s">
        <v>2003</v>
      </c>
      <c r="AC289" s="1" t="s">
        <v>92</v>
      </c>
      <c r="AD289" s="1" t="s">
        <v>2004</v>
      </c>
      <c r="AE289" s="1" t="s">
        <v>60</v>
      </c>
      <c r="AF289" s="1" t="s">
        <v>60</v>
      </c>
      <c r="AG289" s="4" t="s">
        <v>62</v>
      </c>
      <c r="AH289" s="1">
        <v>6.0</v>
      </c>
      <c r="AI289" s="1">
        <v>7.0</v>
      </c>
      <c r="AJ289" s="1">
        <v>6.0</v>
      </c>
      <c r="AK289" s="1">
        <f t="shared" si="1"/>
        <v>19</v>
      </c>
      <c r="AL289" s="1">
        <v>1.0</v>
      </c>
      <c r="AM289" s="1">
        <v>279.0</v>
      </c>
      <c r="AN289" s="1">
        <f t="shared" si="5"/>
        <v>279</v>
      </c>
      <c r="AO289" s="1">
        <f t="shared" si="6"/>
        <v>0.9535842294</v>
      </c>
      <c r="AP289" s="4" t="s">
        <v>1580</v>
      </c>
    </row>
    <row r="290" ht="12.75" customHeight="1">
      <c r="A290" s="1" t="s">
        <v>799</v>
      </c>
      <c r="B290" s="1" t="s">
        <v>800</v>
      </c>
      <c r="C290" s="4" t="s">
        <v>44</v>
      </c>
      <c r="D290" s="1" t="s">
        <v>45</v>
      </c>
      <c r="E290" s="4" t="s">
        <v>124</v>
      </c>
      <c r="F290" s="1" t="s">
        <v>126</v>
      </c>
      <c r="G290" s="1"/>
      <c r="H290" s="1" t="s">
        <v>48</v>
      </c>
      <c r="I290" s="1" t="s">
        <v>2005</v>
      </c>
      <c r="J290" s="1">
        <v>21.0</v>
      </c>
      <c r="K290" s="1">
        <v>20.0</v>
      </c>
      <c r="L290" s="1">
        <v>2021.0</v>
      </c>
      <c r="M290" s="1">
        <v>1.0</v>
      </c>
      <c r="N290" s="1">
        <v>12.0</v>
      </c>
      <c r="O290" s="1">
        <v>2021.0</v>
      </c>
      <c r="P290" s="1" t="s">
        <v>105</v>
      </c>
      <c r="Q290" s="4" t="s">
        <v>51</v>
      </c>
      <c r="R290" s="1" t="s">
        <v>52</v>
      </c>
      <c r="S290" s="1" t="s">
        <v>106</v>
      </c>
      <c r="T290" s="4" t="s">
        <v>1710</v>
      </c>
      <c r="U290" s="1">
        <v>2021.0</v>
      </c>
      <c r="V290" s="1"/>
      <c r="W290" s="1"/>
      <c r="X290" s="4" t="s">
        <v>55</v>
      </c>
      <c r="Y290" s="4" t="s">
        <v>45</v>
      </c>
      <c r="Z290" s="1" t="s">
        <v>126</v>
      </c>
      <c r="AA290" s="1" t="s">
        <v>739</v>
      </c>
      <c r="AB290" s="1" t="s">
        <v>2006</v>
      </c>
      <c r="AC290" s="1" t="s">
        <v>19</v>
      </c>
      <c r="AD290" s="1" t="s">
        <v>1881</v>
      </c>
      <c r="AE290" s="1" t="s">
        <v>60</v>
      </c>
      <c r="AF290" s="1" t="s">
        <v>1687</v>
      </c>
      <c r="AG290" s="4" t="s">
        <v>62</v>
      </c>
      <c r="AH290" s="1">
        <v>7.0</v>
      </c>
      <c r="AI290" s="1">
        <v>8.0</v>
      </c>
      <c r="AJ290" s="1">
        <v>7.0</v>
      </c>
      <c r="AK290" s="1">
        <f t="shared" si="1"/>
        <v>22</v>
      </c>
      <c r="AL290" s="1">
        <v>1.0</v>
      </c>
      <c r="AM290" s="1">
        <v>395.0</v>
      </c>
      <c r="AN290" s="1">
        <f t="shared" si="5"/>
        <v>395</v>
      </c>
      <c r="AO290" s="1">
        <f t="shared" si="6"/>
        <v>1.102531646</v>
      </c>
      <c r="AP290" s="4" t="s">
        <v>801</v>
      </c>
    </row>
    <row r="291" ht="12.75" customHeight="1">
      <c r="A291" s="1" t="s">
        <v>881</v>
      </c>
      <c r="B291" s="1" t="s">
        <v>882</v>
      </c>
      <c r="C291" s="4" t="s">
        <v>44</v>
      </c>
      <c r="D291" s="1" t="s">
        <v>45</v>
      </c>
      <c r="E291" s="1" t="s">
        <v>144</v>
      </c>
      <c r="F291" s="1" t="s">
        <v>146</v>
      </c>
      <c r="G291" s="4" t="s">
        <v>2007</v>
      </c>
      <c r="H291" s="1" t="s">
        <v>48</v>
      </c>
      <c r="I291" s="1" t="s">
        <v>1857</v>
      </c>
      <c r="J291" s="1">
        <v>21.0</v>
      </c>
      <c r="K291" s="1">
        <v>10.0</v>
      </c>
      <c r="L291" s="1">
        <v>2013.0</v>
      </c>
      <c r="M291" s="1">
        <v>12.0</v>
      </c>
      <c r="N291" s="1">
        <v>12.0</v>
      </c>
      <c r="O291" s="1">
        <v>2021.0</v>
      </c>
      <c r="P291" s="1" t="s">
        <v>105</v>
      </c>
      <c r="Q291" s="4" t="s">
        <v>51</v>
      </c>
      <c r="R291" s="1" t="s">
        <v>52</v>
      </c>
      <c r="S291" s="1" t="s">
        <v>106</v>
      </c>
      <c r="T291" s="4" t="s">
        <v>106</v>
      </c>
      <c r="U291" s="4">
        <v>1990.0</v>
      </c>
      <c r="V291" s="1"/>
      <c r="W291" s="1"/>
      <c r="X291" s="4" t="s">
        <v>55</v>
      </c>
      <c r="Y291" s="4" t="s">
        <v>45</v>
      </c>
      <c r="Z291" s="1" t="s">
        <v>146</v>
      </c>
      <c r="AA291" s="1" t="s">
        <v>2008</v>
      </c>
      <c r="AB291" s="1" t="s">
        <v>2008</v>
      </c>
      <c r="AC291" s="1" t="s">
        <v>69</v>
      </c>
      <c r="AD291" s="1" t="s">
        <v>93</v>
      </c>
      <c r="AE291" s="1" t="s">
        <v>60</v>
      </c>
      <c r="AF291" s="1" t="s">
        <v>1687</v>
      </c>
      <c r="AG291" s="4" t="s">
        <v>62</v>
      </c>
      <c r="AH291" s="1">
        <v>8.0</v>
      </c>
      <c r="AI291" s="1">
        <v>8.0</v>
      </c>
      <c r="AJ291" s="1">
        <v>8.0</v>
      </c>
      <c r="AK291" s="1">
        <f t="shared" si="1"/>
        <v>24</v>
      </c>
      <c r="AL291" s="1">
        <v>1.0</v>
      </c>
      <c r="AM291" s="1">
        <v>221.0</v>
      </c>
      <c r="AN291" s="1">
        <f t="shared" si="5"/>
        <v>221</v>
      </c>
      <c r="AO291" s="1">
        <f t="shared" si="6"/>
        <v>1.204524887</v>
      </c>
      <c r="AP291" s="4" t="s">
        <v>883</v>
      </c>
    </row>
    <row r="292" ht="12.75" customHeight="1">
      <c r="A292" s="1" t="s">
        <v>1581</v>
      </c>
      <c r="B292" s="1" t="s">
        <v>1589</v>
      </c>
      <c r="C292" s="4" t="s">
        <v>44</v>
      </c>
      <c r="D292" s="1" t="s">
        <v>45</v>
      </c>
      <c r="E292" s="1" t="s">
        <v>46</v>
      </c>
      <c r="F292" s="1" t="s">
        <v>47</v>
      </c>
      <c r="G292" s="1" t="s">
        <v>1589</v>
      </c>
      <c r="H292" s="1" t="s">
        <v>73</v>
      </c>
      <c r="I292" s="1" t="s">
        <v>1863</v>
      </c>
      <c r="J292" s="1">
        <v>21.0</v>
      </c>
      <c r="K292" s="1">
        <v>20.0</v>
      </c>
      <c r="L292" s="1">
        <v>2021.0</v>
      </c>
      <c r="M292" s="1">
        <v>15.0</v>
      </c>
      <c r="N292" s="1">
        <v>12.0</v>
      </c>
      <c r="O292" s="1">
        <v>2021.0</v>
      </c>
      <c r="P292" s="1" t="s">
        <v>105</v>
      </c>
      <c r="Q292" s="4" t="s">
        <v>51</v>
      </c>
      <c r="R292" s="1" t="s">
        <v>266</v>
      </c>
      <c r="S292" s="1" t="s">
        <v>106</v>
      </c>
      <c r="T292" s="4" t="s">
        <v>1710</v>
      </c>
      <c r="U292" s="1">
        <v>2021.0</v>
      </c>
      <c r="V292" s="1"/>
      <c r="W292" s="1"/>
      <c r="X292" s="4" t="s">
        <v>139</v>
      </c>
      <c r="Y292" s="1" t="s">
        <v>139</v>
      </c>
      <c r="Z292" s="1" t="s">
        <v>139</v>
      </c>
      <c r="AA292" s="1" t="s">
        <v>139</v>
      </c>
      <c r="AB292" s="1" t="s">
        <v>139</v>
      </c>
      <c r="AC292" s="1" t="s">
        <v>69</v>
      </c>
      <c r="AD292" s="1" t="s">
        <v>1726</v>
      </c>
      <c r="AE292" s="1" t="s">
        <v>60</v>
      </c>
      <c r="AF292" s="1" t="s">
        <v>1687</v>
      </c>
      <c r="AG292" s="4" t="s">
        <v>62</v>
      </c>
      <c r="AH292" s="1">
        <v>7.0</v>
      </c>
      <c r="AI292" s="1">
        <v>7.0</v>
      </c>
      <c r="AJ292" s="1">
        <v>7.0</v>
      </c>
      <c r="AK292" s="1">
        <f t="shared" si="1"/>
        <v>21</v>
      </c>
      <c r="AL292" s="1">
        <v>1.0</v>
      </c>
      <c r="AM292" s="1">
        <v>143.0</v>
      </c>
      <c r="AN292" s="1">
        <f t="shared" si="5"/>
        <v>143</v>
      </c>
      <c r="AO292" s="1">
        <f t="shared" si="6"/>
        <v>1.056993007</v>
      </c>
      <c r="AP292" s="4" t="s">
        <v>1590</v>
      </c>
    </row>
    <row r="293" ht="12.75" customHeight="1">
      <c r="A293" s="1" t="s">
        <v>1328</v>
      </c>
      <c r="B293" s="1" t="s">
        <v>1329</v>
      </c>
      <c r="C293" s="4" t="s">
        <v>44</v>
      </c>
      <c r="D293" s="1" t="s">
        <v>94</v>
      </c>
      <c r="E293" s="1" t="s">
        <v>95</v>
      </c>
      <c r="F293" s="1" t="s">
        <v>119</v>
      </c>
      <c r="G293" s="4" t="s">
        <v>2009</v>
      </c>
      <c r="H293" s="1" t="s">
        <v>48</v>
      </c>
      <c r="I293" s="1" t="s">
        <v>1956</v>
      </c>
      <c r="J293" s="1">
        <v>21.0</v>
      </c>
      <c r="K293" s="1">
        <v>10.0</v>
      </c>
      <c r="L293" s="1">
        <v>2010.0</v>
      </c>
      <c r="M293" s="1">
        <v>26.0</v>
      </c>
      <c r="N293" s="1">
        <v>12.0</v>
      </c>
      <c r="O293" s="1">
        <v>2021.0</v>
      </c>
      <c r="P293" s="1" t="s">
        <v>105</v>
      </c>
      <c r="Q293" s="4" t="s">
        <v>51</v>
      </c>
      <c r="R293" s="1" t="s">
        <v>52</v>
      </c>
      <c r="S293" s="1" t="s">
        <v>271</v>
      </c>
      <c r="T293" s="4" t="s">
        <v>583</v>
      </c>
      <c r="U293" s="1">
        <v>1935.0</v>
      </c>
      <c r="V293" s="1"/>
      <c r="W293" s="1"/>
      <c r="X293" s="4" t="s">
        <v>55</v>
      </c>
      <c r="Y293" s="4" t="s">
        <v>148</v>
      </c>
      <c r="Z293" s="4" t="s">
        <v>2010</v>
      </c>
      <c r="AA293" s="4" t="s">
        <v>2011</v>
      </c>
      <c r="AB293" s="4" t="s">
        <v>2011</v>
      </c>
      <c r="AC293" s="1" t="s">
        <v>465</v>
      </c>
      <c r="AD293" s="1" t="s">
        <v>1939</v>
      </c>
      <c r="AE293" s="1" t="s">
        <v>60</v>
      </c>
      <c r="AF293" s="1" t="s">
        <v>1687</v>
      </c>
      <c r="AG293" s="4" t="s">
        <v>62</v>
      </c>
      <c r="AH293" s="1">
        <v>7.0</v>
      </c>
      <c r="AI293" s="1">
        <v>8.0</v>
      </c>
      <c r="AJ293" s="1">
        <v>7.0</v>
      </c>
      <c r="AK293" s="1">
        <f t="shared" si="1"/>
        <v>22</v>
      </c>
      <c r="AL293" s="1">
        <v>1.0</v>
      </c>
      <c r="AM293" s="1">
        <v>284.0</v>
      </c>
      <c r="AN293" s="1">
        <f t="shared" si="5"/>
        <v>284</v>
      </c>
      <c r="AO293" s="1">
        <f t="shared" si="6"/>
        <v>1.103521127</v>
      </c>
      <c r="AP293" s="4" t="s">
        <v>1330</v>
      </c>
    </row>
    <row r="294" ht="12.75" customHeight="1">
      <c r="A294" s="1" t="s">
        <v>1581</v>
      </c>
      <c r="B294" s="1" t="s">
        <v>1586</v>
      </c>
      <c r="C294" s="4" t="s">
        <v>44</v>
      </c>
      <c r="D294" s="1" t="s">
        <v>45</v>
      </c>
      <c r="E294" s="1" t="s">
        <v>46</v>
      </c>
      <c r="F294" s="1" t="s">
        <v>47</v>
      </c>
      <c r="G294" s="1" t="s">
        <v>1586</v>
      </c>
      <c r="H294" s="1" t="s">
        <v>73</v>
      </c>
      <c r="I294" s="1" t="s">
        <v>1863</v>
      </c>
      <c r="J294" s="1">
        <v>21.0</v>
      </c>
      <c r="K294" s="1">
        <v>20.0</v>
      </c>
      <c r="L294" s="1">
        <v>2021.0</v>
      </c>
      <c r="M294" s="1">
        <v>28.0</v>
      </c>
      <c r="N294" s="1">
        <v>12.0</v>
      </c>
      <c r="O294" s="1">
        <v>2021.0</v>
      </c>
      <c r="P294" s="1" t="s">
        <v>105</v>
      </c>
      <c r="Q294" s="4" t="s">
        <v>51</v>
      </c>
      <c r="R294" s="1" t="s">
        <v>276</v>
      </c>
      <c r="S294" s="1" t="s">
        <v>278</v>
      </c>
      <c r="T294" s="4" t="s">
        <v>1710</v>
      </c>
      <c r="U294" s="1">
        <v>2021.0</v>
      </c>
      <c r="V294" s="1"/>
      <c r="W294" s="1"/>
      <c r="X294" s="4" t="s">
        <v>139</v>
      </c>
      <c r="Y294" s="1" t="s">
        <v>139</v>
      </c>
      <c r="Z294" s="1" t="s">
        <v>139</v>
      </c>
      <c r="AA294" s="1" t="s">
        <v>139</v>
      </c>
      <c r="AB294" s="1" t="s">
        <v>139</v>
      </c>
      <c r="AC294" s="1" t="s">
        <v>69</v>
      </c>
      <c r="AD294" s="1" t="s">
        <v>1726</v>
      </c>
      <c r="AE294" s="1" t="s">
        <v>60</v>
      </c>
      <c r="AF294" s="1" t="s">
        <v>1687</v>
      </c>
      <c r="AG294" s="4" t="s">
        <v>62</v>
      </c>
      <c r="AH294" s="1">
        <v>7.0</v>
      </c>
      <c r="AI294" s="1">
        <v>7.0</v>
      </c>
      <c r="AJ294" s="1">
        <v>7.0</v>
      </c>
      <c r="AK294" s="1">
        <f t="shared" si="1"/>
        <v>21</v>
      </c>
      <c r="AL294" s="1">
        <v>1.0</v>
      </c>
      <c r="AM294" s="1">
        <v>143.0</v>
      </c>
      <c r="AN294" s="1">
        <f t="shared" si="5"/>
        <v>143</v>
      </c>
      <c r="AO294" s="1">
        <f t="shared" si="6"/>
        <v>1.056993007</v>
      </c>
      <c r="AP294" s="1"/>
    </row>
    <row r="295" ht="12.75" customHeight="1">
      <c r="A295" s="1" t="s">
        <v>1443</v>
      </c>
      <c r="B295" s="1" t="s">
        <v>1444</v>
      </c>
      <c r="C295" s="4" t="s">
        <v>44</v>
      </c>
      <c r="D295" s="1" t="s">
        <v>45</v>
      </c>
      <c r="E295" s="1" t="s">
        <v>46</v>
      </c>
      <c r="F295" s="1" t="s">
        <v>47</v>
      </c>
      <c r="G295" s="1" t="s">
        <v>1444</v>
      </c>
      <c r="H295" s="1" t="s">
        <v>65</v>
      </c>
      <c r="I295" s="1" t="s">
        <v>1684</v>
      </c>
      <c r="J295" s="1">
        <v>21.0</v>
      </c>
      <c r="K295" s="1">
        <v>10.0</v>
      </c>
      <c r="L295" s="1">
        <v>2015.0</v>
      </c>
      <c r="M295" s="1">
        <v>29.0</v>
      </c>
      <c r="N295" s="1">
        <v>12.0</v>
      </c>
      <c r="O295" s="1">
        <v>2021.0</v>
      </c>
      <c r="P295" s="1" t="s">
        <v>105</v>
      </c>
      <c r="Q295" s="4" t="s">
        <v>51</v>
      </c>
      <c r="R295" s="1" t="s">
        <v>52</v>
      </c>
      <c r="S295" s="1" t="s">
        <v>106</v>
      </c>
      <c r="T295" s="4" t="s">
        <v>91</v>
      </c>
      <c r="U295" s="1">
        <v>2015.0</v>
      </c>
      <c r="V295" s="1"/>
      <c r="W295" s="1"/>
      <c r="X295" s="4" t="s">
        <v>55</v>
      </c>
      <c r="Y295" s="4" t="s">
        <v>45</v>
      </c>
      <c r="Z295" s="1" t="s">
        <v>47</v>
      </c>
      <c r="AA295" s="4" t="s">
        <v>481</v>
      </c>
      <c r="AB295" s="4" t="s">
        <v>481</v>
      </c>
      <c r="AC295" s="1" t="s">
        <v>19</v>
      </c>
      <c r="AD295" s="1" t="s">
        <v>244</v>
      </c>
      <c r="AE295" s="1" t="s">
        <v>60</v>
      </c>
      <c r="AF295" s="1" t="s">
        <v>1687</v>
      </c>
      <c r="AG295" s="4" t="s">
        <v>62</v>
      </c>
      <c r="AH295" s="1">
        <v>8.0</v>
      </c>
      <c r="AI295" s="1">
        <v>7.0</v>
      </c>
      <c r="AJ295" s="1">
        <v>9.0</v>
      </c>
      <c r="AK295" s="1">
        <f t="shared" si="1"/>
        <v>24</v>
      </c>
      <c r="AL295" s="1">
        <v>1.0</v>
      </c>
      <c r="AM295" s="1">
        <v>93.0</v>
      </c>
      <c r="AN295" s="1">
        <f t="shared" si="5"/>
        <v>93</v>
      </c>
      <c r="AO295" s="1">
        <f t="shared" si="6"/>
        <v>1.210752688</v>
      </c>
      <c r="AP295" s="4" t="s">
        <v>1445</v>
      </c>
    </row>
    <row r="296" ht="12.75" customHeight="1">
      <c r="A296" s="1" t="s">
        <v>1607</v>
      </c>
      <c r="B296" s="1" t="s">
        <v>1608</v>
      </c>
      <c r="C296" s="4" t="s">
        <v>44</v>
      </c>
      <c r="D296" s="1" t="s">
        <v>99</v>
      </c>
      <c r="E296" s="1" t="s">
        <v>100</v>
      </c>
      <c r="F296" s="1" t="s">
        <v>101</v>
      </c>
      <c r="G296" s="1"/>
      <c r="H296" s="1" t="s">
        <v>48</v>
      </c>
      <c r="I296" s="1" t="s">
        <v>2012</v>
      </c>
      <c r="J296" s="1">
        <v>21.0</v>
      </c>
      <c r="K296" s="1">
        <v>10.0</v>
      </c>
      <c r="L296" s="1">
        <v>2019.0</v>
      </c>
      <c r="M296" s="1">
        <v>10.0</v>
      </c>
      <c r="N296" s="1">
        <v>1.0</v>
      </c>
      <c r="O296" s="1">
        <v>2022.0</v>
      </c>
      <c r="P296" s="1" t="s">
        <v>105</v>
      </c>
      <c r="Q296" s="4" t="s">
        <v>51</v>
      </c>
      <c r="R296" s="1" t="s">
        <v>276</v>
      </c>
      <c r="S296" s="1" t="s">
        <v>277</v>
      </c>
      <c r="T296" s="4" t="s">
        <v>1766</v>
      </c>
      <c r="U296" s="1">
        <v>1925.0</v>
      </c>
      <c r="V296" s="1"/>
      <c r="W296" s="1"/>
      <c r="X296" s="4" t="s">
        <v>55</v>
      </c>
      <c r="Y296" s="4" t="s">
        <v>99</v>
      </c>
      <c r="Z296" s="4" t="s">
        <v>101</v>
      </c>
      <c r="AA296" s="1" t="s">
        <v>1641</v>
      </c>
      <c r="AB296" s="1" t="s">
        <v>1641</v>
      </c>
      <c r="AC296" s="1" t="s">
        <v>69</v>
      </c>
      <c r="AD296" s="1" t="s">
        <v>1889</v>
      </c>
      <c r="AE296" s="1" t="s">
        <v>60</v>
      </c>
      <c r="AF296" s="1" t="s">
        <v>1687</v>
      </c>
      <c r="AG296" s="4" t="s">
        <v>62</v>
      </c>
      <c r="AH296" s="1">
        <v>6.0</v>
      </c>
      <c r="AI296" s="1">
        <v>6.0</v>
      </c>
      <c r="AJ296" s="1">
        <v>6.0</v>
      </c>
      <c r="AK296" s="1">
        <f t="shared" si="1"/>
        <v>18</v>
      </c>
      <c r="AL296" s="1">
        <v>1.0</v>
      </c>
      <c r="AM296" s="1">
        <v>175.0</v>
      </c>
      <c r="AN296" s="1">
        <f t="shared" si="5"/>
        <v>175</v>
      </c>
      <c r="AO296" s="1">
        <f t="shared" si="6"/>
        <v>0.9057142857</v>
      </c>
      <c r="AP296" s="1"/>
    </row>
    <row r="297" ht="12.75" customHeight="1">
      <c r="A297" s="1" t="s">
        <v>1171</v>
      </c>
      <c r="B297" s="1" t="s">
        <v>1172</v>
      </c>
      <c r="C297" s="4" t="s">
        <v>44</v>
      </c>
      <c r="D297" s="1" t="s">
        <v>45</v>
      </c>
      <c r="E297" s="4" t="s">
        <v>124</v>
      </c>
      <c r="F297" s="1" t="s">
        <v>126</v>
      </c>
      <c r="G297" s="1"/>
      <c r="H297" s="1" t="s">
        <v>65</v>
      </c>
      <c r="I297" s="1" t="s">
        <v>1789</v>
      </c>
      <c r="J297" s="1">
        <v>21.0</v>
      </c>
      <c r="K297" s="1">
        <v>10.0</v>
      </c>
      <c r="L297" s="1">
        <v>2019.0</v>
      </c>
      <c r="M297" s="1">
        <v>17.0</v>
      </c>
      <c r="N297" s="1">
        <v>1.0</v>
      </c>
      <c r="O297" s="1">
        <v>2022.0</v>
      </c>
      <c r="P297" s="1" t="s">
        <v>105</v>
      </c>
      <c r="Q297" s="4" t="s">
        <v>51</v>
      </c>
      <c r="R297" s="1" t="s">
        <v>52</v>
      </c>
      <c r="S297" s="1" t="s">
        <v>298</v>
      </c>
      <c r="T297" s="4" t="s">
        <v>106</v>
      </c>
      <c r="U297" s="1">
        <v>2019.0</v>
      </c>
      <c r="V297" s="1"/>
      <c r="W297" s="1"/>
      <c r="X297" s="4" t="s">
        <v>55</v>
      </c>
      <c r="Y297" s="4" t="s">
        <v>99</v>
      </c>
      <c r="Z297" s="4" t="s">
        <v>126</v>
      </c>
      <c r="AA297" s="1" t="s">
        <v>2013</v>
      </c>
      <c r="AB297" s="1" t="s">
        <v>2014</v>
      </c>
      <c r="AC297" s="1" t="s">
        <v>542</v>
      </c>
      <c r="AD297" s="1" t="s">
        <v>2015</v>
      </c>
      <c r="AE297" s="1" t="s">
        <v>2016</v>
      </c>
      <c r="AF297" s="1" t="s">
        <v>1687</v>
      </c>
      <c r="AG297" s="4" t="s">
        <v>62</v>
      </c>
      <c r="AH297" s="1">
        <v>7.0</v>
      </c>
      <c r="AI297" s="1">
        <v>8.0</v>
      </c>
      <c r="AJ297" s="1">
        <v>7.0</v>
      </c>
      <c r="AK297" s="1">
        <f t="shared" si="1"/>
        <v>22</v>
      </c>
      <c r="AL297" s="1">
        <v>1.0</v>
      </c>
      <c r="AM297" s="1">
        <v>255.0</v>
      </c>
      <c r="AN297" s="1">
        <f t="shared" si="5"/>
        <v>255</v>
      </c>
      <c r="AO297" s="1">
        <f t="shared" si="6"/>
        <v>1.103921569</v>
      </c>
      <c r="AP297" s="4" t="s">
        <v>1173</v>
      </c>
    </row>
    <row r="298" ht="12.75" customHeight="1">
      <c r="A298" s="1" t="s">
        <v>1352</v>
      </c>
      <c r="B298" s="1" t="s">
        <v>1353</v>
      </c>
      <c r="C298" s="4" t="s">
        <v>44</v>
      </c>
      <c r="D298" s="1" t="s">
        <v>99</v>
      </c>
      <c r="E298" s="1" t="s">
        <v>100</v>
      </c>
      <c r="F298" s="1" t="s">
        <v>101</v>
      </c>
      <c r="G298" s="1"/>
      <c r="H298" s="1" t="s">
        <v>65</v>
      </c>
      <c r="I298" s="1" t="s">
        <v>1997</v>
      </c>
      <c r="J298" s="1">
        <v>21.0</v>
      </c>
      <c r="K298" s="1">
        <v>20.0</v>
      </c>
      <c r="L298" s="1">
        <v>2020.0</v>
      </c>
      <c r="M298" s="1">
        <v>27.0</v>
      </c>
      <c r="N298" s="1">
        <v>1.0</v>
      </c>
      <c r="O298" s="1">
        <v>2022.0</v>
      </c>
      <c r="P298" s="1" t="s">
        <v>105</v>
      </c>
      <c r="Q298" s="4" t="s">
        <v>51</v>
      </c>
      <c r="R298" s="1" t="s">
        <v>52</v>
      </c>
      <c r="S298" s="1" t="s">
        <v>106</v>
      </c>
      <c r="T298" s="4" t="s">
        <v>1710</v>
      </c>
      <c r="U298" s="1">
        <v>2020.0</v>
      </c>
      <c r="V298" s="1"/>
      <c r="W298" s="1"/>
      <c r="X298" s="4" t="s">
        <v>55</v>
      </c>
      <c r="Y298" s="4" t="s">
        <v>99</v>
      </c>
      <c r="Z298" s="4" t="s">
        <v>101</v>
      </c>
      <c r="AA298" s="1" t="s">
        <v>1641</v>
      </c>
      <c r="AB298" s="1" t="s">
        <v>1641</v>
      </c>
      <c r="AC298" s="1" t="s">
        <v>19</v>
      </c>
      <c r="AD298" s="1" t="s">
        <v>1951</v>
      </c>
      <c r="AE298" s="1" t="s">
        <v>60</v>
      </c>
      <c r="AF298" s="1" t="s">
        <v>1687</v>
      </c>
      <c r="AG298" s="4" t="s">
        <v>62</v>
      </c>
      <c r="AH298" s="1">
        <v>7.0</v>
      </c>
      <c r="AI298" s="1">
        <v>7.0</v>
      </c>
      <c r="AJ298" s="1">
        <v>7.0</v>
      </c>
      <c r="AK298" s="1">
        <f t="shared" si="1"/>
        <v>21</v>
      </c>
      <c r="AL298" s="1">
        <v>1.0</v>
      </c>
      <c r="AM298" s="1">
        <v>415.0</v>
      </c>
      <c r="AN298" s="1">
        <f t="shared" si="5"/>
        <v>415</v>
      </c>
      <c r="AO298" s="1">
        <f t="shared" si="6"/>
        <v>1.052409639</v>
      </c>
      <c r="AP298" s="4" t="s">
        <v>1354</v>
      </c>
    </row>
    <row r="299" ht="12.75" customHeight="1">
      <c r="A299" s="1" t="s">
        <v>1174</v>
      </c>
      <c r="B299" s="1" t="s">
        <v>1176</v>
      </c>
      <c r="C299" s="4" t="s">
        <v>44</v>
      </c>
      <c r="D299" s="1" t="s">
        <v>45</v>
      </c>
      <c r="E299" s="4" t="s">
        <v>124</v>
      </c>
      <c r="F299" s="1" t="s">
        <v>126</v>
      </c>
      <c r="G299" s="4" t="s">
        <v>2017</v>
      </c>
      <c r="H299" s="1" t="s">
        <v>65</v>
      </c>
      <c r="I299" s="1" t="s">
        <v>1684</v>
      </c>
      <c r="J299" s="1">
        <v>21.0</v>
      </c>
      <c r="K299" s="1">
        <v>10.0</v>
      </c>
      <c r="L299" s="1">
        <v>2018.0</v>
      </c>
      <c r="M299" s="1">
        <v>3.0</v>
      </c>
      <c r="N299" s="1">
        <v>2.0</v>
      </c>
      <c r="O299" s="1">
        <v>2022.0</v>
      </c>
      <c r="P299" s="1" t="s">
        <v>105</v>
      </c>
      <c r="Q299" s="4" t="s">
        <v>51</v>
      </c>
      <c r="R299" s="1" t="s">
        <v>136</v>
      </c>
      <c r="S299" s="1" t="s">
        <v>237</v>
      </c>
      <c r="T299" s="4" t="s">
        <v>526</v>
      </c>
      <c r="U299" s="4">
        <v>1975.0</v>
      </c>
      <c r="V299" s="1"/>
      <c r="W299" s="1"/>
      <c r="X299" s="4" t="s">
        <v>55</v>
      </c>
      <c r="Y299" s="4" t="s">
        <v>45</v>
      </c>
      <c r="Z299" s="4" t="s">
        <v>126</v>
      </c>
      <c r="AA299" s="1" t="s">
        <v>2018</v>
      </c>
      <c r="AB299" s="4" t="s">
        <v>2019</v>
      </c>
      <c r="AC299" s="1" t="s">
        <v>1781</v>
      </c>
      <c r="AD299" s="1" t="s">
        <v>1726</v>
      </c>
      <c r="AE299" s="1" t="s">
        <v>60</v>
      </c>
      <c r="AF299" s="1" t="s">
        <v>1687</v>
      </c>
      <c r="AG299" s="4" t="s">
        <v>62</v>
      </c>
      <c r="AH299" s="1">
        <v>8.0</v>
      </c>
      <c r="AI299" s="1">
        <v>9.0</v>
      </c>
      <c r="AJ299" s="1">
        <v>9.0</v>
      </c>
      <c r="AK299" s="1">
        <f t="shared" si="1"/>
        <v>26</v>
      </c>
      <c r="AL299" s="1">
        <v>1.0</v>
      </c>
      <c r="AM299" s="1">
        <v>284.0</v>
      </c>
      <c r="AN299" s="1">
        <f t="shared" si="5"/>
        <v>284</v>
      </c>
      <c r="AO299" s="1">
        <f t="shared" si="6"/>
        <v>1.303521127</v>
      </c>
      <c r="AP299" s="4" t="s">
        <v>1177</v>
      </c>
    </row>
    <row r="300" ht="12.75" customHeight="1">
      <c r="A300" s="1" t="s">
        <v>668</v>
      </c>
      <c r="B300" s="1" t="s">
        <v>669</v>
      </c>
      <c r="C300" s="4" t="s">
        <v>44</v>
      </c>
      <c r="D300" s="1" t="s">
        <v>148</v>
      </c>
      <c r="E300" s="1" t="s">
        <v>149</v>
      </c>
      <c r="F300" s="1" t="s">
        <v>151</v>
      </c>
      <c r="G300" s="4" t="s">
        <v>2020</v>
      </c>
      <c r="H300" s="1" t="s">
        <v>48</v>
      </c>
      <c r="I300" s="1" t="s">
        <v>1642</v>
      </c>
      <c r="J300" s="1">
        <v>21.0</v>
      </c>
      <c r="K300" s="1">
        <v>20.0</v>
      </c>
      <c r="L300" s="1">
        <v>2020.0</v>
      </c>
      <c r="M300" s="1">
        <v>14.0</v>
      </c>
      <c r="N300" s="1">
        <v>2.0</v>
      </c>
      <c r="O300" s="1">
        <v>2022.0</v>
      </c>
      <c r="P300" s="1" t="s">
        <v>105</v>
      </c>
      <c r="Q300" s="4" t="s">
        <v>51</v>
      </c>
      <c r="R300" s="1" t="s">
        <v>52</v>
      </c>
      <c r="S300" s="1" t="s">
        <v>271</v>
      </c>
      <c r="T300" s="4" t="s">
        <v>106</v>
      </c>
      <c r="U300" s="1">
        <v>1955.0</v>
      </c>
      <c r="V300" s="1"/>
      <c r="W300" s="1"/>
      <c r="X300" s="4" t="s">
        <v>55</v>
      </c>
      <c r="Y300" s="4" t="s">
        <v>148</v>
      </c>
      <c r="Z300" s="1" t="s">
        <v>151</v>
      </c>
      <c r="AA300" s="1" t="s">
        <v>2021</v>
      </c>
      <c r="AB300" s="1" t="s">
        <v>2022</v>
      </c>
      <c r="AC300" s="1" t="s">
        <v>58</v>
      </c>
      <c r="AD300" s="1" t="s">
        <v>406</v>
      </c>
      <c r="AE300" s="1" t="s">
        <v>60</v>
      </c>
      <c r="AF300" s="1" t="s">
        <v>1687</v>
      </c>
      <c r="AG300" s="4" t="s">
        <v>62</v>
      </c>
      <c r="AH300" s="1">
        <v>8.0</v>
      </c>
      <c r="AI300" s="1">
        <v>7.0</v>
      </c>
      <c r="AJ300" s="1">
        <v>6.0</v>
      </c>
      <c r="AK300" s="1">
        <f t="shared" si="1"/>
        <v>21</v>
      </c>
      <c r="AL300" s="1">
        <v>1.0</v>
      </c>
      <c r="AM300" s="1">
        <v>351.0</v>
      </c>
      <c r="AN300" s="1">
        <f t="shared" si="5"/>
        <v>351</v>
      </c>
      <c r="AO300" s="1">
        <f t="shared" si="6"/>
        <v>1.052849003</v>
      </c>
      <c r="AP300" s="4" t="s">
        <v>670</v>
      </c>
    </row>
    <row r="301" ht="12.75" customHeight="1">
      <c r="A301" s="1" t="s">
        <v>676</v>
      </c>
      <c r="B301" s="1" t="s">
        <v>677</v>
      </c>
      <c r="C301" s="4" t="s">
        <v>44</v>
      </c>
      <c r="D301" s="1" t="s">
        <v>148</v>
      </c>
      <c r="E301" s="1" t="s">
        <v>160</v>
      </c>
      <c r="F301" s="1" t="s">
        <v>167</v>
      </c>
      <c r="G301" s="1"/>
      <c r="H301" s="1" t="s">
        <v>65</v>
      </c>
      <c r="I301" s="1" t="s">
        <v>2023</v>
      </c>
      <c r="J301" s="1">
        <v>20.0</v>
      </c>
      <c r="K301" s="1">
        <v>80.0</v>
      </c>
      <c r="L301" s="1">
        <v>1988.0</v>
      </c>
      <c r="M301" s="1">
        <v>6.0</v>
      </c>
      <c r="N301" s="1">
        <v>3.0</v>
      </c>
      <c r="O301" s="1">
        <v>2022.0</v>
      </c>
      <c r="P301" s="1" t="s">
        <v>105</v>
      </c>
      <c r="Q301" s="4" t="s">
        <v>51</v>
      </c>
      <c r="R301" s="1" t="s">
        <v>52</v>
      </c>
      <c r="S301" s="1" t="s">
        <v>301</v>
      </c>
      <c r="T301" s="4" t="s">
        <v>2024</v>
      </c>
      <c r="U301" s="4">
        <v>1072.0</v>
      </c>
      <c r="V301" s="1"/>
      <c r="W301" s="1"/>
      <c r="X301" s="4" t="s">
        <v>55</v>
      </c>
      <c r="Y301" s="4" t="s">
        <v>148</v>
      </c>
      <c r="Z301" s="4" t="s">
        <v>162</v>
      </c>
      <c r="AA301" s="4" t="s">
        <v>677</v>
      </c>
      <c r="AB301" s="4" t="s">
        <v>677</v>
      </c>
      <c r="AC301" s="1" t="s">
        <v>19</v>
      </c>
      <c r="AD301" s="1" t="s">
        <v>2025</v>
      </c>
      <c r="AE301" s="1" t="s">
        <v>60</v>
      </c>
      <c r="AF301" s="1" t="s">
        <v>1687</v>
      </c>
      <c r="AG301" s="4" t="s">
        <v>62</v>
      </c>
      <c r="AH301" s="1">
        <v>8.0</v>
      </c>
      <c r="AI301" s="1">
        <v>9.0</v>
      </c>
      <c r="AJ301" s="1">
        <v>8.0</v>
      </c>
      <c r="AK301" s="1">
        <f t="shared" si="1"/>
        <v>25</v>
      </c>
      <c r="AL301" s="1">
        <v>1.0</v>
      </c>
      <c r="AM301" s="1">
        <v>348.0</v>
      </c>
      <c r="AN301" s="1">
        <f t="shared" si="5"/>
        <v>348</v>
      </c>
      <c r="AO301" s="1">
        <f t="shared" si="6"/>
        <v>1.252873563</v>
      </c>
      <c r="AP301" s="4" t="s">
        <v>678</v>
      </c>
    </row>
    <row r="302" ht="12.75" customHeight="1">
      <c r="A302" s="1" t="s">
        <v>852</v>
      </c>
      <c r="B302" s="1" t="s">
        <v>853</v>
      </c>
      <c r="C302" s="4" t="s">
        <v>44</v>
      </c>
      <c r="D302" s="1" t="s">
        <v>45</v>
      </c>
      <c r="E302" s="1" t="s">
        <v>46</v>
      </c>
      <c r="F302" s="1" t="s">
        <v>47</v>
      </c>
      <c r="G302" s="1" t="s">
        <v>853</v>
      </c>
      <c r="H302" s="1" t="s">
        <v>48</v>
      </c>
      <c r="I302" s="1" t="s">
        <v>428</v>
      </c>
      <c r="J302" s="1">
        <v>21.0</v>
      </c>
      <c r="K302" s="1">
        <v>20.0</v>
      </c>
      <c r="L302" s="1">
        <v>2022.0</v>
      </c>
      <c r="M302" s="1">
        <v>17.0</v>
      </c>
      <c r="N302" s="1">
        <v>3.0</v>
      </c>
      <c r="O302" s="1">
        <v>2022.0</v>
      </c>
      <c r="P302" s="1" t="s">
        <v>105</v>
      </c>
      <c r="Q302" s="4" t="s">
        <v>51</v>
      </c>
      <c r="R302" s="1" t="s">
        <v>136</v>
      </c>
      <c r="S302" s="1" t="s">
        <v>136</v>
      </c>
      <c r="T302" s="4" t="s">
        <v>1710</v>
      </c>
      <c r="U302" s="1">
        <v>2022.0</v>
      </c>
      <c r="V302" s="1"/>
      <c r="W302" s="1"/>
      <c r="X302" s="4" t="s">
        <v>55</v>
      </c>
      <c r="Y302" s="4" t="s">
        <v>45</v>
      </c>
      <c r="Z302" s="1" t="s">
        <v>47</v>
      </c>
      <c r="AA302" s="1" t="s">
        <v>139</v>
      </c>
      <c r="AB302" s="1" t="s">
        <v>139</v>
      </c>
      <c r="AC302" s="1" t="s">
        <v>58</v>
      </c>
      <c r="AD302" s="1" t="s">
        <v>1921</v>
      </c>
      <c r="AE302" s="1" t="s">
        <v>1921</v>
      </c>
      <c r="AF302" s="1" t="s">
        <v>1687</v>
      </c>
      <c r="AG302" s="4" t="s">
        <v>62</v>
      </c>
      <c r="AH302" s="1">
        <v>7.0</v>
      </c>
      <c r="AI302" s="1">
        <v>7.0</v>
      </c>
      <c r="AJ302" s="1"/>
      <c r="AK302" s="1">
        <f t="shared" si="1"/>
        <v>14</v>
      </c>
      <c r="AL302" s="1">
        <v>1.0</v>
      </c>
      <c r="AM302" s="1">
        <v>69.0</v>
      </c>
      <c r="AN302" s="1">
        <f t="shared" si="5"/>
        <v>69</v>
      </c>
      <c r="AO302" s="1">
        <f t="shared" si="6"/>
        <v>0.7144927536</v>
      </c>
      <c r="AP302" s="1"/>
    </row>
    <row r="303" ht="12.75" customHeight="1">
      <c r="A303" s="1" t="s">
        <v>991</v>
      </c>
      <c r="B303" s="1" t="s">
        <v>994</v>
      </c>
      <c r="C303" s="4" t="s">
        <v>44</v>
      </c>
      <c r="D303" s="1" t="s">
        <v>99</v>
      </c>
      <c r="E303" s="1" t="s">
        <v>100</v>
      </c>
      <c r="F303" s="1" t="s">
        <v>101</v>
      </c>
      <c r="G303" s="4" t="s">
        <v>2026</v>
      </c>
      <c r="H303" s="1" t="s">
        <v>48</v>
      </c>
      <c r="I303" s="1" t="s">
        <v>2027</v>
      </c>
      <c r="J303" s="1">
        <v>21.0</v>
      </c>
      <c r="K303" s="1">
        <v>20.0</v>
      </c>
      <c r="L303" s="4">
        <v>2020.0</v>
      </c>
      <c r="M303" s="1">
        <v>21.0</v>
      </c>
      <c r="N303" s="1">
        <v>3.0</v>
      </c>
      <c r="O303" s="1">
        <v>2022.0</v>
      </c>
      <c r="P303" s="1" t="s">
        <v>105</v>
      </c>
      <c r="Q303" s="4" t="s">
        <v>51</v>
      </c>
      <c r="R303" s="1" t="s">
        <v>52</v>
      </c>
      <c r="S303" s="1" t="s">
        <v>106</v>
      </c>
      <c r="T303" s="4" t="s">
        <v>2028</v>
      </c>
      <c r="U303" s="1">
        <v>2022.0</v>
      </c>
      <c r="V303" s="1"/>
      <c r="W303" s="1"/>
      <c r="X303" s="4" t="s">
        <v>55</v>
      </c>
      <c r="Y303" s="1" t="s">
        <v>334</v>
      </c>
      <c r="Z303" s="1" t="s">
        <v>334</v>
      </c>
      <c r="AA303" s="1" t="s">
        <v>2029</v>
      </c>
      <c r="AB303" s="1" t="s">
        <v>2030</v>
      </c>
      <c r="AC303" s="1" t="s">
        <v>58</v>
      </c>
      <c r="AD303" s="1" t="s">
        <v>1889</v>
      </c>
      <c r="AE303" s="1" t="s">
        <v>60</v>
      </c>
      <c r="AF303" s="1" t="s">
        <v>1687</v>
      </c>
      <c r="AG303" s="4" t="s">
        <v>62</v>
      </c>
      <c r="AH303" s="1">
        <v>7.0</v>
      </c>
      <c r="AI303" s="1">
        <v>7.0</v>
      </c>
      <c r="AJ303" s="1">
        <v>7.0</v>
      </c>
      <c r="AK303" s="1">
        <f t="shared" si="1"/>
        <v>21</v>
      </c>
      <c r="AL303" s="1">
        <v>1.0</v>
      </c>
      <c r="AM303" s="1">
        <v>347.0</v>
      </c>
      <c r="AN303" s="1">
        <f t="shared" si="5"/>
        <v>347</v>
      </c>
      <c r="AO303" s="1">
        <f t="shared" si="6"/>
        <v>1.052881844</v>
      </c>
      <c r="AP303" s="4" t="s">
        <v>995</v>
      </c>
    </row>
    <row r="304" ht="12.75" customHeight="1">
      <c r="A304" s="1" t="s">
        <v>778</v>
      </c>
      <c r="B304" s="1" t="s">
        <v>779</v>
      </c>
      <c r="C304" s="4" t="s">
        <v>44</v>
      </c>
      <c r="D304" s="1" t="s">
        <v>45</v>
      </c>
      <c r="E304" s="1" t="s">
        <v>46</v>
      </c>
      <c r="F304" s="1" t="s">
        <v>127</v>
      </c>
      <c r="G304" s="4" t="s">
        <v>2031</v>
      </c>
      <c r="H304" s="1" t="s">
        <v>48</v>
      </c>
      <c r="I304" s="1" t="s">
        <v>1668</v>
      </c>
      <c r="J304" s="1">
        <v>21.0</v>
      </c>
      <c r="K304" s="1">
        <v>10.0</v>
      </c>
      <c r="L304" s="1">
        <v>2019.0</v>
      </c>
      <c r="M304" s="1">
        <v>26.0</v>
      </c>
      <c r="N304" s="1">
        <v>3.0</v>
      </c>
      <c r="O304" s="1">
        <v>2022.0</v>
      </c>
      <c r="P304" s="1" t="s">
        <v>105</v>
      </c>
      <c r="Q304" s="4" t="s">
        <v>51</v>
      </c>
      <c r="R304" s="1" t="s">
        <v>52</v>
      </c>
      <c r="S304" s="1" t="s">
        <v>298</v>
      </c>
      <c r="T304" s="4" t="s">
        <v>2032</v>
      </c>
      <c r="U304" s="1">
        <v>2019.0</v>
      </c>
      <c r="V304" s="1"/>
      <c r="W304" s="1"/>
      <c r="X304" s="4" t="s">
        <v>55</v>
      </c>
      <c r="Y304" s="4" t="s">
        <v>45</v>
      </c>
      <c r="Z304" s="1" t="s">
        <v>127</v>
      </c>
      <c r="AA304" s="1" t="s">
        <v>2033</v>
      </c>
      <c r="AB304" s="1" t="s">
        <v>2034</v>
      </c>
      <c r="AC304" s="1" t="s">
        <v>1781</v>
      </c>
      <c r="AD304" s="1" t="s">
        <v>2035</v>
      </c>
      <c r="AE304" s="1" t="s">
        <v>466</v>
      </c>
      <c r="AF304" s="1" t="s">
        <v>1687</v>
      </c>
      <c r="AG304" s="4" t="s">
        <v>62</v>
      </c>
      <c r="AH304" s="1">
        <v>8.0</v>
      </c>
      <c r="AI304" s="1">
        <v>9.0</v>
      </c>
      <c r="AJ304" s="1">
        <v>8.0</v>
      </c>
      <c r="AK304" s="1">
        <f t="shared" si="1"/>
        <v>25</v>
      </c>
      <c r="AL304" s="1">
        <v>1.0</v>
      </c>
      <c r="AM304" s="1">
        <v>205.0</v>
      </c>
      <c r="AN304" s="1">
        <f t="shared" si="5"/>
        <v>205</v>
      </c>
      <c r="AO304" s="1">
        <f t="shared" si="6"/>
        <v>1.254878049</v>
      </c>
      <c r="AP304" s="4" t="s">
        <v>780</v>
      </c>
    </row>
    <row r="305" ht="12.75" customHeight="1">
      <c r="A305" s="1" t="s">
        <v>1511</v>
      </c>
      <c r="B305" s="1" t="s">
        <v>1512</v>
      </c>
      <c r="C305" s="4" t="s">
        <v>44</v>
      </c>
      <c r="D305" s="1" t="s">
        <v>45</v>
      </c>
      <c r="E305" s="4" t="s">
        <v>124</v>
      </c>
      <c r="F305" s="1" t="s">
        <v>126</v>
      </c>
      <c r="G305" s="4" t="s">
        <v>2036</v>
      </c>
      <c r="H305" s="1" t="s">
        <v>48</v>
      </c>
      <c r="I305" s="1" t="s">
        <v>1844</v>
      </c>
      <c r="J305" s="1">
        <v>21.0</v>
      </c>
      <c r="K305" s="1">
        <v>20.0</v>
      </c>
      <c r="L305" s="1">
        <v>2020.0</v>
      </c>
      <c r="M305" s="1">
        <v>18.0</v>
      </c>
      <c r="N305" s="1">
        <v>4.0</v>
      </c>
      <c r="O305" s="1">
        <v>2022.0</v>
      </c>
      <c r="P305" s="1" t="s">
        <v>105</v>
      </c>
      <c r="Q305" s="4" t="s">
        <v>51</v>
      </c>
      <c r="R305" s="1" t="s">
        <v>52</v>
      </c>
      <c r="S305" s="1" t="s">
        <v>301</v>
      </c>
      <c r="T305" s="4" t="s">
        <v>565</v>
      </c>
      <c r="U305" s="1">
        <v>33.0</v>
      </c>
      <c r="V305" s="1"/>
      <c r="W305" s="1"/>
      <c r="X305" s="4" t="s">
        <v>55</v>
      </c>
      <c r="Y305" s="4" t="s">
        <v>148</v>
      </c>
      <c r="Z305" s="4" t="s">
        <v>566</v>
      </c>
      <c r="AA305" s="4" t="s">
        <v>567</v>
      </c>
      <c r="AB305" s="1" t="s">
        <v>2037</v>
      </c>
      <c r="AC305" s="1" t="s">
        <v>261</v>
      </c>
      <c r="AD305" s="1" t="s">
        <v>568</v>
      </c>
      <c r="AE305" s="1" t="s">
        <v>386</v>
      </c>
      <c r="AF305" s="1" t="s">
        <v>1687</v>
      </c>
      <c r="AG305" s="4" t="s">
        <v>62</v>
      </c>
      <c r="AH305" s="1">
        <v>9.0</v>
      </c>
      <c r="AI305" s="1">
        <v>9.0</v>
      </c>
      <c r="AJ305" s="1">
        <v>8.0</v>
      </c>
      <c r="AK305" s="1">
        <f t="shared" si="1"/>
        <v>26</v>
      </c>
      <c r="AL305" s="1">
        <v>1.0</v>
      </c>
      <c r="AM305" s="1">
        <v>446.0</v>
      </c>
      <c r="AN305" s="1">
        <f t="shared" si="5"/>
        <v>446</v>
      </c>
      <c r="AO305" s="1">
        <f t="shared" si="6"/>
        <v>1.302242152</v>
      </c>
      <c r="AP305" s="4" t="s">
        <v>1513</v>
      </c>
    </row>
    <row r="306" ht="12.75" customHeight="1">
      <c r="A306" s="1" t="s">
        <v>1553</v>
      </c>
      <c r="B306" s="1" t="s">
        <v>1554</v>
      </c>
      <c r="C306" s="4" t="s">
        <v>44</v>
      </c>
      <c r="D306" s="1" t="s">
        <v>45</v>
      </c>
      <c r="E306" s="4" t="s">
        <v>124</v>
      </c>
      <c r="F306" s="1" t="s">
        <v>126</v>
      </c>
      <c r="G306" s="1"/>
      <c r="H306" s="1" t="s">
        <v>65</v>
      </c>
      <c r="I306" s="1" t="s">
        <v>1684</v>
      </c>
      <c r="J306" s="1">
        <v>21.0</v>
      </c>
      <c r="K306" s="1">
        <v>20.0</v>
      </c>
      <c r="L306" s="1">
        <v>2020.0</v>
      </c>
      <c r="M306" s="1">
        <v>3.0</v>
      </c>
      <c r="N306" s="1">
        <v>5.0</v>
      </c>
      <c r="O306" s="1">
        <v>2022.0</v>
      </c>
      <c r="P306" s="1" t="s">
        <v>105</v>
      </c>
      <c r="Q306" s="4" t="s">
        <v>51</v>
      </c>
      <c r="R306" s="1" t="s">
        <v>52</v>
      </c>
      <c r="S306" s="1" t="s">
        <v>106</v>
      </c>
      <c r="T306" s="4" t="s">
        <v>1710</v>
      </c>
      <c r="U306" s="1">
        <v>2020.0</v>
      </c>
      <c r="V306" s="1"/>
      <c r="W306" s="1"/>
      <c r="X306" s="4" t="s">
        <v>55</v>
      </c>
      <c r="Y306" s="4" t="s">
        <v>99</v>
      </c>
      <c r="Z306" s="1" t="s">
        <v>195</v>
      </c>
      <c r="AA306" s="1" t="s">
        <v>541</v>
      </c>
      <c r="AB306" s="4" t="s">
        <v>541</v>
      </c>
      <c r="AC306" s="1" t="s">
        <v>69</v>
      </c>
      <c r="AD306" s="1" t="s">
        <v>406</v>
      </c>
      <c r="AE306" s="1" t="s">
        <v>60</v>
      </c>
      <c r="AF306" s="1" t="s">
        <v>1687</v>
      </c>
      <c r="AG306" s="4" t="s">
        <v>62</v>
      </c>
      <c r="AH306" s="1">
        <v>7.0</v>
      </c>
      <c r="AI306" s="1">
        <v>8.0</v>
      </c>
      <c r="AJ306" s="1">
        <v>7.0</v>
      </c>
      <c r="AK306" s="1">
        <f t="shared" si="1"/>
        <v>22</v>
      </c>
      <c r="AL306" s="1">
        <v>1.0</v>
      </c>
      <c r="AM306" s="1">
        <v>318.0</v>
      </c>
      <c r="AN306" s="1">
        <f t="shared" si="5"/>
        <v>318</v>
      </c>
      <c r="AO306" s="1">
        <f t="shared" si="6"/>
        <v>1.103144654</v>
      </c>
      <c r="AP306" s="4" t="s">
        <v>1555</v>
      </c>
    </row>
    <row r="307" ht="12.75" customHeight="1">
      <c r="A307" s="1" t="s">
        <v>1499</v>
      </c>
      <c r="B307" s="1" t="s">
        <v>1500</v>
      </c>
      <c r="C307" s="4" t="s">
        <v>44</v>
      </c>
      <c r="D307" s="1" t="s">
        <v>45</v>
      </c>
      <c r="E307" s="1" t="s">
        <v>46</v>
      </c>
      <c r="F307" s="1" t="s">
        <v>47</v>
      </c>
      <c r="G307" s="1" t="s">
        <v>1500</v>
      </c>
      <c r="H307" s="1" t="s">
        <v>65</v>
      </c>
      <c r="I307" s="1" t="s">
        <v>1789</v>
      </c>
      <c r="J307" s="1">
        <v>21.0</v>
      </c>
      <c r="K307" s="1">
        <v>20.0</v>
      </c>
      <c r="L307" s="1">
        <v>2022.0</v>
      </c>
      <c r="M307" s="1">
        <v>16.0</v>
      </c>
      <c r="N307" s="1">
        <v>5.0</v>
      </c>
      <c r="O307" s="1">
        <v>2022.0</v>
      </c>
      <c r="P307" s="1" t="s">
        <v>105</v>
      </c>
      <c r="Q307" s="4" t="s">
        <v>51</v>
      </c>
      <c r="R307" s="1" t="s">
        <v>52</v>
      </c>
      <c r="S307" s="1" t="s">
        <v>270</v>
      </c>
      <c r="T307" s="4" t="s">
        <v>1710</v>
      </c>
      <c r="U307" s="1">
        <v>2022.0</v>
      </c>
      <c r="V307" s="1"/>
      <c r="W307" s="1"/>
      <c r="X307" s="4" t="s">
        <v>55</v>
      </c>
      <c r="Y307" s="4" t="s">
        <v>45</v>
      </c>
      <c r="Z307" s="1" t="s">
        <v>47</v>
      </c>
      <c r="AA307" s="1" t="s">
        <v>226</v>
      </c>
      <c r="AB307" s="1" t="s">
        <v>2038</v>
      </c>
      <c r="AC307" s="1" t="s">
        <v>69</v>
      </c>
      <c r="AD307" s="1" t="s">
        <v>386</v>
      </c>
      <c r="AE307" s="1" t="s">
        <v>2039</v>
      </c>
      <c r="AF307" s="1" t="s">
        <v>1687</v>
      </c>
      <c r="AG307" s="4" t="s">
        <v>62</v>
      </c>
      <c r="AH307" s="1">
        <v>8.0</v>
      </c>
      <c r="AI307" s="1">
        <v>8.0</v>
      </c>
      <c r="AJ307" s="1">
        <v>8.0</v>
      </c>
      <c r="AK307" s="1">
        <f t="shared" si="1"/>
        <v>24</v>
      </c>
      <c r="AL307" s="1">
        <v>1.0</v>
      </c>
      <c r="AM307" s="1">
        <v>316.0</v>
      </c>
      <c r="AN307" s="1">
        <f t="shared" si="5"/>
        <v>316</v>
      </c>
      <c r="AO307" s="1">
        <f t="shared" si="6"/>
        <v>1.203164557</v>
      </c>
      <c r="AP307" s="4" t="s">
        <v>1501</v>
      </c>
    </row>
    <row r="308" ht="12.75" customHeight="1">
      <c r="A308" s="1" t="s">
        <v>763</v>
      </c>
      <c r="B308" s="1" t="s">
        <v>764</v>
      </c>
      <c r="C308" s="4" t="s">
        <v>44</v>
      </c>
      <c r="D308" s="1" t="s">
        <v>45</v>
      </c>
      <c r="E308" s="1" t="s">
        <v>46</v>
      </c>
      <c r="F308" s="1" t="s">
        <v>134</v>
      </c>
      <c r="G308" s="4" t="s">
        <v>764</v>
      </c>
      <c r="H308" s="1" t="s">
        <v>48</v>
      </c>
      <c r="I308" s="1" t="s">
        <v>1684</v>
      </c>
      <c r="J308" s="1">
        <v>21.0</v>
      </c>
      <c r="K308" s="1">
        <v>10.0</v>
      </c>
      <c r="L308" s="1">
        <v>2018.0</v>
      </c>
      <c r="M308" s="1">
        <v>22.0</v>
      </c>
      <c r="N308" s="1">
        <v>5.0</v>
      </c>
      <c r="O308" s="1">
        <v>2022.0</v>
      </c>
      <c r="P308" s="1" t="s">
        <v>105</v>
      </c>
      <c r="Q308" s="4" t="s">
        <v>51</v>
      </c>
      <c r="R308" s="1" t="s">
        <v>52</v>
      </c>
      <c r="S308" s="1" t="s">
        <v>106</v>
      </c>
      <c r="T308" s="4" t="s">
        <v>106</v>
      </c>
      <c r="U308" s="1">
        <v>2018.0</v>
      </c>
      <c r="V308" s="1"/>
      <c r="W308" s="1"/>
      <c r="X308" s="4" t="s">
        <v>55</v>
      </c>
      <c r="Y308" s="4" t="s">
        <v>45</v>
      </c>
      <c r="Z308" s="1" t="s">
        <v>134</v>
      </c>
      <c r="AA308" s="1" t="s">
        <v>1958</v>
      </c>
      <c r="AB308" s="1" t="s">
        <v>1958</v>
      </c>
      <c r="AC308" s="1" t="s">
        <v>69</v>
      </c>
      <c r="AD308" s="1" t="s">
        <v>2040</v>
      </c>
      <c r="AE308" s="1" t="s">
        <v>60</v>
      </c>
      <c r="AF308" s="1" t="s">
        <v>1687</v>
      </c>
      <c r="AG308" s="4" t="s">
        <v>62</v>
      </c>
      <c r="AH308" s="1">
        <v>9.0</v>
      </c>
      <c r="AI308" s="1">
        <v>8.0</v>
      </c>
      <c r="AJ308" s="1">
        <v>8.0</v>
      </c>
      <c r="AK308" s="1">
        <f t="shared" si="1"/>
        <v>25</v>
      </c>
      <c r="AL308" s="1">
        <v>1.0</v>
      </c>
      <c r="AM308" s="1">
        <v>190.0</v>
      </c>
      <c r="AN308" s="1">
        <f t="shared" si="5"/>
        <v>190</v>
      </c>
      <c r="AO308" s="1">
        <f t="shared" si="6"/>
        <v>1.255263158</v>
      </c>
      <c r="AP308" s="4" t="s">
        <v>765</v>
      </c>
    </row>
    <row r="309" ht="12.75" customHeight="1">
      <c r="A309" s="1" t="s">
        <v>1461</v>
      </c>
      <c r="B309" s="1" t="s">
        <v>1462</v>
      </c>
      <c r="C309" s="4" t="s">
        <v>44</v>
      </c>
      <c r="D309" s="1" t="s">
        <v>45</v>
      </c>
      <c r="E309" s="4" t="s">
        <v>124</v>
      </c>
      <c r="F309" s="1" t="s">
        <v>126</v>
      </c>
      <c r="G309" s="1"/>
      <c r="H309" s="1" t="s">
        <v>48</v>
      </c>
      <c r="I309" s="1" t="s">
        <v>1789</v>
      </c>
      <c r="J309" s="1">
        <v>21.0</v>
      </c>
      <c r="K309" s="1">
        <v>20.0</v>
      </c>
      <c r="L309" s="1">
        <v>2020.0</v>
      </c>
      <c r="M309" s="1">
        <v>15.0</v>
      </c>
      <c r="N309" s="1">
        <v>6.0</v>
      </c>
      <c r="O309" s="1">
        <v>2022.0</v>
      </c>
      <c r="P309" s="1" t="s">
        <v>105</v>
      </c>
      <c r="Q309" s="4" t="s">
        <v>51</v>
      </c>
      <c r="R309" s="1" t="s">
        <v>52</v>
      </c>
      <c r="S309" s="1" t="s">
        <v>270</v>
      </c>
      <c r="T309" s="4" t="s">
        <v>1034</v>
      </c>
      <c r="U309" s="1">
        <v>1750.0</v>
      </c>
      <c r="V309" s="1"/>
      <c r="W309" s="1"/>
      <c r="X309" s="4" t="s">
        <v>55</v>
      </c>
      <c r="Y309" s="4" t="s">
        <v>99</v>
      </c>
      <c r="Z309" s="4" t="s">
        <v>101</v>
      </c>
      <c r="AA309" s="1" t="s">
        <v>1641</v>
      </c>
      <c r="AB309" s="1" t="s">
        <v>2041</v>
      </c>
      <c r="AC309" s="1" t="s">
        <v>1781</v>
      </c>
      <c r="AD309" s="1" t="s">
        <v>1889</v>
      </c>
      <c r="AE309" s="1" t="s">
        <v>2042</v>
      </c>
      <c r="AF309" s="1" t="s">
        <v>1687</v>
      </c>
      <c r="AG309" s="4" t="s">
        <v>62</v>
      </c>
      <c r="AH309" s="1">
        <v>7.0</v>
      </c>
      <c r="AI309" s="1">
        <v>7.0</v>
      </c>
      <c r="AJ309" s="1">
        <v>6.0</v>
      </c>
      <c r="AK309" s="1">
        <f t="shared" si="1"/>
        <v>20</v>
      </c>
      <c r="AL309" s="1">
        <v>1.0</v>
      </c>
      <c r="AM309" s="1">
        <v>318.0</v>
      </c>
      <c r="AN309" s="1">
        <f t="shared" si="5"/>
        <v>318</v>
      </c>
      <c r="AO309" s="1">
        <f t="shared" si="6"/>
        <v>1.003144654</v>
      </c>
      <c r="AP309" s="4" t="s">
        <v>1463</v>
      </c>
    </row>
    <row r="310" ht="12.75" customHeight="1">
      <c r="A310" s="1" t="s">
        <v>727</v>
      </c>
      <c r="B310" s="1" t="s">
        <v>728</v>
      </c>
      <c r="C310" s="4" t="s">
        <v>44</v>
      </c>
      <c r="D310" s="1" t="s">
        <v>45</v>
      </c>
      <c r="E310" s="1" t="s">
        <v>46</v>
      </c>
      <c r="F310" s="1" t="s">
        <v>47</v>
      </c>
      <c r="G310" s="1" t="s">
        <v>728</v>
      </c>
      <c r="H310" s="1" t="s">
        <v>65</v>
      </c>
      <c r="I310" s="1" t="s">
        <v>1997</v>
      </c>
      <c r="J310" s="1">
        <v>21.0</v>
      </c>
      <c r="K310" s="1">
        <v>10.0</v>
      </c>
      <c r="L310" s="1">
        <v>2011.0</v>
      </c>
      <c r="M310" s="1">
        <v>26.0</v>
      </c>
      <c r="N310" s="1">
        <v>6.0</v>
      </c>
      <c r="O310" s="1">
        <v>2022.0</v>
      </c>
      <c r="P310" s="1" t="s">
        <v>105</v>
      </c>
      <c r="Q310" s="4" t="s">
        <v>51</v>
      </c>
      <c r="R310" s="1" t="s">
        <v>52</v>
      </c>
      <c r="S310" s="1" t="s">
        <v>237</v>
      </c>
      <c r="T310" s="4" t="s">
        <v>75</v>
      </c>
      <c r="U310" s="1">
        <v>1970.0</v>
      </c>
      <c r="V310" s="1"/>
      <c r="W310" s="1"/>
      <c r="X310" s="4" t="s">
        <v>55</v>
      </c>
      <c r="Y310" s="4" t="s">
        <v>45</v>
      </c>
      <c r="Z310" s="1" t="s">
        <v>47</v>
      </c>
      <c r="AA310" s="1" t="s">
        <v>56</v>
      </c>
      <c r="AB310" s="1" t="s">
        <v>56</v>
      </c>
      <c r="AC310" s="1" t="s">
        <v>19</v>
      </c>
      <c r="AD310" s="1" t="s">
        <v>568</v>
      </c>
      <c r="AE310" s="1" t="s">
        <v>60</v>
      </c>
      <c r="AF310" s="1" t="s">
        <v>1687</v>
      </c>
      <c r="AG310" s="4" t="s">
        <v>62</v>
      </c>
      <c r="AH310" s="1">
        <v>8.0</v>
      </c>
      <c r="AI310" s="1">
        <v>8.0</v>
      </c>
      <c r="AJ310" s="1">
        <v>8.0</v>
      </c>
      <c r="AK310" s="1">
        <f t="shared" si="1"/>
        <v>24</v>
      </c>
      <c r="AL310" s="1">
        <v>1.0</v>
      </c>
      <c r="AM310" s="1">
        <v>199.0</v>
      </c>
      <c r="AN310" s="1">
        <f t="shared" si="5"/>
        <v>199</v>
      </c>
      <c r="AO310" s="1">
        <f t="shared" si="6"/>
        <v>1.205025126</v>
      </c>
      <c r="AP310" s="4" t="s">
        <v>729</v>
      </c>
    </row>
    <row r="311" ht="12.75" customHeight="1">
      <c r="A311" s="1" t="s">
        <v>1166</v>
      </c>
      <c r="B311" s="1" t="s">
        <v>1167</v>
      </c>
      <c r="C311" s="4" t="s">
        <v>44</v>
      </c>
      <c r="D311" s="1" t="s">
        <v>99</v>
      </c>
      <c r="E311" s="1" t="s">
        <v>100</v>
      </c>
      <c r="F311" s="1" t="s">
        <v>101</v>
      </c>
      <c r="G311" s="1"/>
      <c r="H311" s="1" t="s">
        <v>48</v>
      </c>
      <c r="I311" s="1" t="s">
        <v>428</v>
      </c>
      <c r="J311" s="1">
        <v>21.0</v>
      </c>
      <c r="K311" s="1">
        <v>20.0</v>
      </c>
      <c r="L311" s="1">
        <v>2021.0</v>
      </c>
      <c r="M311" s="1">
        <v>11.0</v>
      </c>
      <c r="N311" s="1">
        <v>7.0</v>
      </c>
      <c r="O311" s="1">
        <v>2022.0</v>
      </c>
      <c r="P311" s="1" t="s">
        <v>105</v>
      </c>
      <c r="Q311" s="4" t="s">
        <v>51</v>
      </c>
      <c r="R311" s="1" t="s">
        <v>52</v>
      </c>
      <c r="S311" s="1" t="s">
        <v>270</v>
      </c>
      <c r="T311" s="4" t="s">
        <v>1710</v>
      </c>
      <c r="U311" s="1">
        <v>2021.0</v>
      </c>
      <c r="V311" s="1"/>
      <c r="W311" s="1"/>
      <c r="X311" s="4" t="s">
        <v>55</v>
      </c>
      <c r="Y311" s="4" t="s">
        <v>99</v>
      </c>
      <c r="Z311" s="4" t="s">
        <v>101</v>
      </c>
      <c r="AA311" s="1" t="s">
        <v>1641</v>
      </c>
      <c r="AB311" s="1" t="s">
        <v>2043</v>
      </c>
      <c r="AC311" s="1" t="s">
        <v>1781</v>
      </c>
      <c r="AD311" s="1" t="s">
        <v>1889</v>
      </c>
      <c r="AE311" s="1" t="s">
        <v>60</v>
      </c>
      <c r="AF311" s="1" t="s">
        <v>1687</v>
      </c>
      <c r="AG311" s="4" t="s">
        <v>62</v>
      </c>
      <c r="AH311" s="1">
        <v>8.0</v>
      </c>
      <c r="AI311" s="1">
        <v>7.0</v>
      </c>
      <c r="AJ311" s="1">
        <v>7.0</v>
      </c>
      <c r="AK311" s="1">
        <f t="shared" si="1"/>
        <v>22</v>
      </c>
      <c r="AL311" s="1">
        <v>1.0</v>
      </c>
      <c r="AM311" s="1">
        <v>417.0</v>
      </c>
      <c r="AN311" s="1">
        <f t="shared" si="5"/>
        <v>417</v>
      </c>
      <c r="AO311" s="1">
        <f t="shared" si="6"/>
        <v>1.102398082</v>
      </c>
      <c r="AP311" s="12" t="s">
        <v>1168</v>
      </c>
    </row>
    <row r="312" ht="12.75" customHeight="1">
      <c r="A312" s="1" t="s">
        <v>1040</v>
      </c>
      <c r="B312" s="1" t="s">
        <v>1041</v>
      </c>
      <c r="C312" s="4" t="s">
        <v>44</v>
      </c>
      <c r="D312" s="1" t="s">
        <v>99</v>
      </c>
      <c r="E312" s="1" t="s">
        <v>180</v>
      </c>
      <c r="F312" s="1" t="s">
        <v>181</v>
      </c>
      <c r="G312" s="1"/>
      <c r="H312" s="1" t="s">
        <v>65</v>
      </c>
      <c r="I312" s="1" t="s">
        <v>1863</v>
      </c>
      <c r="J312" s="1">
        <v>18.0</v>
      </c>
      <c r="K312" s="1">
        <v>70.0</v>
      </c>
      <c r="L312" s="1">
        <v>1774.0</v>
      </c>
      <c r="M312" s="1">
        <v>17.0</v>
      </c>
      <c r="N312" s="1">
        <v>7.0</v>
      </c>
      <c r="O312" s="1">
        <v>2022.0</v>
      </c>
      <c r="P312" s="1" t="s">
        <v>105</v>
      </c>
      <c r="Q312" s="4" t="s">
        <v>51</v>
      </c>
      <c r="R312" s="4" t="s">
        <v>283</v>
      </c>
      <c r="S312" s="1" t="s">
        <v>224</v>
      </c>
      <c r="T312" s="4" t="s">
        <v>2044</v>
      </c>
      <c r="U312" s="1">
        <v>1774.0</v>
      </c>
      <c r="V312" s="1"/>
      <c r="W312" s="1"/>
      <c r="X312" s="4" t="s">
        <v>55</v>
      </c>
      <c r="Y312" s="4" t="s">
        <v>99</v>
      </c>
      <c r="Z312" s="1" t="s">
        <v>181</v>
      </c>
      <c r="AA312" s="1" t="s">
        <v>2045</v>
      </c>
      <c r="AB312" s="4" t="s">
        <v>2046</v>
      </c>
      <c r="AC312" s="1" t="s">
        <v>69</v>
      </c>
      <c r="AD312" s="4" t="s">
        <v>2047</v>
      </c>
      <c r="AE312" s="1" t="s">
        <v>60</v>
      </c>
      <c r="AF312" s="1" t="s">
        <v>1687</v>
      </c>
      <c r="AG312" s="4" t="s">
        <v>62</v>
      </c>
      <c r="AH312" s="1">
        <v>8.0</v>
      </c>
      <c r="AI312" s="1">
        <v>8.0</v>
      </c>
      <c r="AJ312" s="1">
        <v>9.0</v>
      </c>
      <c r="AK312" s="1">
        <f t="shared" si="1"/>
        <v>25</v>
      </c>
      <c r="AL312" s="1">
        <v>1.0</v>
      </c>
      <c r="AM312" s="1">
        <v>143.0</v>
      </c>
      <c r="AN312" s="1">
        <f t="shared" si="5"/>
        <v>143</v>
      </c>
      <c r="AO312" s="1">
        <f t="shared" si="6"/>
        <v>1.256993007</v>
      </c>
      <c r="AP312" s="4" t="s">
        <v>1042</v>
      </c>
    </row>
    <row r="313" ht="12.75" customHeight="1">
      <c r="A313" s="1" t="s">
        <v>628</v>
      </c>
      <c r="B313" s="1" t="s">
        <v>629</v>
      </c>
      <c r="C313" s="4" t="s">
        <v>44</v>
      </c>
      <c r="D313" s="1" t="s">
        <v>94</v>
      </c>
      <c r="E313" s="1" t="s">
        <v>95</v>
      </c>
      <c r="F313" s="1" t="s">
        <v>121</v>
      </c>
      <c r="G313" s="4" t="s">
        <v>2048</v>
      </c>
      <c r="H313" s="1" t="s">
        <v>65</v>
      </c>
      <c r="I313" s="1" t="s">
        <v>1997</v>
      </c>
      <c r="J313" s="1">
        <v>21.0</v>
      </c>
      <c r="K313" s="1">
        <v>0.0</v>
      </c>
      <c r="L313" s="1">
        <v>2001.0</v>
      </c>
      <c r="M313" s="1">
        <v>31.0</v>
      </c>
      <c r="N313" s="1">
        <v>7.0</v>
      </c>
      <c r="O313" s="1">
        <v>2022.0</v>
      </c>
      <c r="P313" s="1" t="s">
        <v>105</v>
      </c>
      <c r="Q313" s="4" t="s">
        <v>51</v>
      </c>
      <c r="R313" s="1" t="s">
        <v>52</v>
      </c>
      <c r="S313" s="1" t="s">
        <v>271</v>
      </c>
      <c r="T313" s="4" t="s">
        <v>2049</v>
      </c>
      <c r="U313" s="4">
        <v>1694.0</v>
      </c>
      <c r="V313" s="4">
        <v>1.0</v>
      </c>
      <c r="W313" s="4">
        <v>12.0</v>
      </c>
      <c r="X313" s="4" t="s">
        <v>55</v>
      </c>
      <c r="Y313" s="4" t="s">
        <v>94</v>
      </c>
      <c r="Z313" s="1" t="s">
        <v>121</v>
      </c>
      <c r="AA313" s="1" t="s">
        <v>2050</v>
      </c>
      <c r="AB313" s="1" t="s">
        <v>2050</v>
      </c>
      <c r="AC313" s="1" t="s">
        <v>465</v>
      </c>
      <c r="AD313" s="1" t="s">
        <v>1944</v>
      </c>
      <c r="AE313" s="1" t="s">
        <v>60</v>
      </c>
      <c r="AF313" s="1" t="s">
        <v>1687</v>
      </c>
      <c r="AG313" s="4" t="s">
        <v>62</v>
      </c>
      <c r="AH313" s="1">
        <v>9.0</v>
      </c>
      <c r="AI313" s="1">
        <v>9.0</v>
      </c>
      <c r="AJ313" s="1">
        <v>9.0</v>
      </c>
      <c r="AK313" s="1">
        <f t="shared" si="1"/>
        <v>27</v>
      </c>
      <c r="AL313" s="1">
        <v>1.0</v>
      </c>
      <c r="AM313" s="1">
        <v>365.0</v>
      </c>
      <c r="AN313" s="1">
        <f t="shared" si="5"/>
        <v>365</v>
      </c>
      <c r="AO313" s="1">
        <f t="shared" si="6"/>
        <v>1.352739726</v>
      </c>
      <c r="AP313" s="4" t="s">
        <v>630</v>
      </c>
    </row>
    <row r="314" ht="12.75" customHeight="1">
      <c r="A314" s="1" t="s">
        <v>1455</v>
      </c>
      <c r="B314" s="1" t="s">
        <v>1456</v>
      </c>
      <c r="C314" s="4" t="s">
        <v>44</v>
      </c>
      <c r="D314" s="1" t="s">
        <v>45</v>
      </c>
      <c r="E314" s="4" t="s">
        <v>124</v>
      </c>
      <c r="F314" s="1" t="s">
        <v>126</v>
      </c>
      <c r="G314" s="1"/>
      <c r="H314" s="1" t="s">
        <v>48</v>
      </c>
      <c r="I314" s="1" t="s">
        <v>1684</v>
      </c>
      <c r="J314" s="1">
        <v>21.0</v>
      </c>
      <c r="K314" s="1">
        <v>20.0</v>
      </c>
      <c r="L314" s="1">
        <v>2021.0</v>
      </c>
      <c r="M314" s="1">
        <v>17.0</v>
      </c>
      <c r="N314" s="1">
        <v>8.0</v>
      </c>
      <c r="O314" s="1">
        <v>2022.0</v>
      </c>
      <c r="P314" s="1" t="s">
        <v>105</v>
      </c>
      <c r="Q314" s="4" t="s">
        <v>51</v>
      </c>
      <c r="R314" s="1" t="s">
        <v>52</v>
      </c>
      <c r="S314" s="1" t="s">
        <v>301</v>
      </c>
      <c r="T314" s="4" t="s">
        <v>508</v>
      </c>
      <c r="U314" s="1">
        <v>1850.0</v>
      </c>
      <c r="V314" s="1"/>
      <c r="W314" s="1"/>
      <c r="X314" s="4" t="s">
        <v>55</v>
      </c>
      <c r="Y314" s="4" t="s">
        <v>45</v>
      </c>
      <c r="Z314" s="1" t="s">
        <v>126</v>
      </c>
      <c r="AA314" s="1" t="s">
        <v>2051</v>
      </c>
      <c r="AB314" s="1" t="s">
        <v>2052</v>
      </c>
      <c r="AC314" s="1" t="s">
        <v>1781</v>
      </c>
      <c r="AD314" s="1" t="s">
        <v>418</v>
      </c>
      <c r="AE314" s="1" t="s">
        <v>60</v>
      </c>
      <c r="AF314" s="1" t="s">
        <v>1687</v>
      </c>
      <c r="AG314" s="4" t="s">
        <v>62</v>
      </c>
      <c r="AH314" s="1">
        <v>6.0</v>
      </c>
      <c r="AI314" s="1">
        <v>5.0</v>
      </c>
      <c r="AJ314" s="1">
        <v>7.0</v>
      </c>
      <c r="AK314" s="1">
        <f t="shared" si="1"/>
        <v>18</v>
      </c>
      <c r="AL314" s="1">
        <v>1.0</v>
      </c>
      <c r="AM314" s="1">
        <v>318.0</v>
      </c>
      <c r="AN314" s="1">
        <f t="shared" si="5"/>
        <v>318</v>
      </c>
      <c r="AO314" s="1">
        <f t="shared" si="6"/>
        <v>0.9031446541</v>
      </c>
      <c r="AP314" s="4" t="s">
        <v>1457</v>
      </c>
    </row>
    <row r="315" ht="12.75" customHeight="1">
      <c r="A315" s="1" t="s">
        <v>790</v>
      </c>
      <c r="B315" s="1" t="s">
        <v>791</v>
      </c>
      <c r="C315" s="4" t="s">
        <v>44</v>
      </c>
      <c r="D315" s="1" t="s">
        <v>45</v>
      </c>
      <c r="E315" s="1" t="s">
        <v>46</v>
      </c>
      <c r="F315" s="1" t="s">
        <v>129</v>
      </c>
      <c r="G315" s="1"/>
      <c r="H315" s="1" t="s">
        <v>48</v>
      </c>
      <c r="I315" s="1" t="s">
        <v>1997</v>
      </c>
      <c r="J315" s="1">
        <v>21.0</v>
      </c>
      <c r="K315" s="1">
        <v>10.0</v>
      </c>
      <c r="L315" s="1">
        <v>2018.0</v>
      </c>
      <c r="M315" s="1">
        <v>27.0</v>
      </c>
      <c r="N315" s="1">
        <v>8.0</v>
      </c>
      <c r="O315" s="1">
        <v>2022.0</v>
      </c>
      <c r="P315" s="1" t="s">
        <v>105</v>
      </c>
      <c r="Q315" s="4" t="s">
        <v>51</v>
      </c>
      <c r="R315" s="1" t="s">
        <v>52</v>
      </c>
      <c r="S315" s="1" t="s">
        <v>298</v>
      </c>
      <c r="T315" s="4" t="s">
        <v>1710</v>
      </c>
      <c r="U315" s="1">
        <v>2021.0</v>
      </c>
      <c r="V315" s="1"/>
      <c r="W315" s="1"/>
      <c r="X315" s="4" t="s">
        <v>55</v>
      </c>
      <c r="Y315" s="4" t="s">
        <v>45</v>
      </c>
      <c r="Z315" s="1" t="s">
        <v>47</v>
      </c>
      <c r="AA315" s="1" t="s">
        <v>226</v>
      </c>
      <c r="AB315" s="4" t="s">
        <v>2053</v>
      </c>
      <c r="AC315" s="1" t="s">
        <v>422</v>
      </c>
      <c r="AD315" s="1" t="s">
        <v>47</v>
      </c>
      <c r="AE315" s="1" t="s">
        <v>2054</v>
      </c>
      <c r="AF315" s="1" t="s">
        <v>1687</v>
      </c>
      <c r="AG315" s="4" t="s">
        <v>62</v>
      </c>
      <c r="AH315" s="1">
        <v>8.0</v>
      </c>
      <c r="AI315" s="1">
        <v>8.0</v>
      </c>
      <c r="AJ315" s="1">
        <v>7.0</v>
      </c>
      <c r="AK315" s="1">
        <f t="shared" si="1"/>
        <v>23</v>
      </c>
      <c r="AL315" s="1">
        <v>1.0</v>
      </c>
      <c r="AM315" s="1">
        <v>267.0</v>
      </c>
      <c r="AN315" s="1">
        <f t="shared" si="5"/>
        <v>267</v>
      </c>
      <c r="AO315" s="1">
        <f t="shared" si="6"/>
        <v>1.153745318</v>
      </c>
      <c r="AP315" s="4" t="s">
        <v>792</v>
      </c>
    </row>
    <row r="316" ht="12.75" customHeight="1">
      <c r="A316" s="1" t="s">
        <v>1202</v>
      </c>
      <c r="B316" s="1" t="s">
        <v>1203</v>
      </c>
      <c r="C316" s="4" t="s">
        <v>44</v>
      </c>
      <c r="D316" s="1" t="s">
        <v>45</v>
      </c>
      <c r="E316" s="4" t="s">
        <v>124</v>
      </c>
      <c r="F316" s="1" t="s">
        <v>126</v>
      </c>
      <c r="G316" s="1"/>
      <c r="H316" s="1" t="s">
        <v>48</v>
      </c>
      <c r="I316" s="1" t="s">
        <v>1956</v>
      </c>
      <c r="J316" s="1">
        <v>21.0</v>
      </c>
      <c r="K316" s="1">
        <v>20.0</v>
      </c>
      <c r="L316" s="1">
        <v>2020.0</v>
      </c>
      <c r="M316" s="1">
        <v>21.0</v>
      </c>
      <c r="N316" s="1">
        <v>9.0</v>
      </c>
      <c r="O316" s="1">
        <v>2022.0</v>
      </c>
      <c r="P316" s="1" t="s">
        <v>105</v>
      </c>
      <c r="Q316" s="4" t="s">
        <v>51</v>
      </c>
      <c r="R316" s="1" t="s">
        <v>52</v>
      </c>
      <c r="S316" s="1" t="s">
        <v>106</v>
      </c>
      <c r="T316" s="4" t="s">
        <v>106</v>
      </c>
      <c r="U316" s="1">
        <v>1995.0</v>
      </c>
      <c r="V316" s="1"/>
      <c r="W316" s="1"/>
      <c r="X316" s="4" t="s">
        <v>55</v>
      </c>
      <c r="Y316" s="4" t="s">
        <v>45</v>
      </c>
      <c r="Z316" s="1" t="s">
        <v>126</v>
      </c>
      <c r="AA316" s="1" t="s">
        <v>1730</v>
      </c>
      <c r="AB316" s="1" t="s">
        <v>2055</v>
      </c>
      <c r="AC316" s="1" t="s">
        <v>69</v>
      </c>
      <c r="AD316" s="1" t="s">
        <v>1700</v>
      </c>
      <c r="AE316" s="1" t="s">
        <v>60</v>
      </c>
      <c r="AF316" s="1" t="s">
        <v>1687</v>
      </c>
      <c r="AG316" s="4" t="s">
        <v>62</v>
      </c>
      <c r="AH316" s="1">
        <v>7.0</v>
      </c>
      <c r="AI316" s="1">
        <v>6.0</v>
      </c>
      <c r="AJ316" s="1">
        <v>7.0</v>
      </c>
      <c r="AK316" s="1">
        <f t="shared" si="1"/>
        <v>20</v>
      </c>
      <c r="AL316" s="1">
        <v>1.0</v>
      </c>
      <c r="AM316" s="1">
        <v>301.0</v>
      </c>
      <c r="AN316" s="1">
        <f t="shared" si="5"/>
        <v>301</v>
      </c>
      <c r="AO316" s="1">
        <f t="shared" si="6"/>
        <v>1.003322259</v>
      </c>
      <c r="AP316" s="4" t="s">
        <v>1204</v>
      </c>
    </row>
    <row r="317" ht="12.75" customHeight="1">
      <c r="A317" s="1" t="s">
        <v>887</v>
      </c>
      <c r="B317" s="1" t="s">
        <v>888</v>
      </c>
      <c r="C317" s="4" t="s">
        <v>44</v>
      </c>
      <c r="D317" s="1" t="s">
        <v>99</v>
      </c>
      <c r="E317" s="1" t="s">
        <v>180</v>
      </c>
      <c r="F317" s="1" t="s">
        <v>183</v>
      </c>
      <c r="G317" s="1"/>
      <c r="H317" s="1" t="s">
        <v>48</v>
      </c>
      <c r="I317" s="1" t="s">
        <v>1789</v>
      </c>
      <c r="J317" s="1">
        <v>21.0</v>
      </c>
      <c r="K317" s="1">
        <v>20.0</v>
      </c>
      <c r="L317" s="1">
        <v>2021.0</v>
      </c>
      <c r="M317" s="1">
        <v>15.0</v>
      </c>
      <c r="N317" s="1">
        <v>10.0</v>
      </c>
      <c r="O317" s="1">
        <v>2022.0</v>
      </c>
      <c r="P317" s="1" t="s">
        <v>105</v>
      </c>
      <c r="Q317" s="4" t="s">
        <v>51</v>
      </c>
      <c r="R317" s="1" t="s">
        <v>52</v>
      </c>
      <c r="S317" s="1" t="s">
        <v>298</v>
      </c>
      <c r="T317" s="4" t="s">
        <v>106</v>
      </c>
      <c r="U317" s="1">
        <v>2000.0</v>
      </c>
      <c r="V317" s="1"/>
      <c r="W317" s="1"/>
      <c r="X317" s="4" t="s">
        <v>55</v>
      </c>
      <c r="Y317" s="4" t="s">
        <v>99</v>
      </c>
      <c r="Z317" s="1" t="s">
        <v>176</v>
      </c>
      <c r="AA317" s="1" t="s">
        <v>2056</v>
      </c>
      <c r="AB317" s="1" t="s">
        <v>2056</v>
      </c>
      <c r="AC317" s="1" t="s">
        <v>58</v>
      </c>
      <c r="AD317" s="1" t="s">
        <v>2057</v>
      </c>
      <c r="AE317" s="1" t="s">
        <v>1987</v>
      </c>
      <c r="AF317" s="1" t="s">
        <v>1687</v>
      </c>
      <c r="AG317" s="4" t="s">
        <v>62</v>
      </c>
      <c r="AH317" s="1">
        <v>9.0</v>
      </c>
      <c r="AI317" s="1">
        <v>8.0</v>
      </c>
      <c r="AJ317" s="1">
        <v>8.0</v>
      </c>
      <c r="AK317" s="1">
        <f t="shared" si="1"/>
        <v>25</v>
      </c>
      <c r="AL317" s="1">
        <v>1.0</v>
      </c>
      <c r="AM317" s="1">
        <v>319.0</v>
      </c>
      <c r="AN317" s="1">
        <f t="shared" si="5"/>
        <v>319</v>
      </c>
      <c r="AO317" s="1">
        <f t="shared" si="6"/>
        <v>1.253134796</v>
      </c>
      <c r="AP317" s="4" t="s">
        <v>889</v>
      </c>
    </row>
    <row r="318" ht="12.75" customHeight="1">
      <c r="A318" s="1" t="s">
        <v>1475</v>
      </c>
      <c r="B318" s="1" t="s">
        <v>1476</v>
      </c>
      <c r="C318" s="4" t="s">
        <v>44</v>
      </c>
      <c r="D318" s="1" t="s">
        <v>45</v>
      </c>
      <c r="E318" s="4" t="s">
        <v>124</v>
      </c>
      <c r="F318" s="1" t="s">
        <v>125</v>
      </c>
      <c r="G318" s="1"/>
      <c r="H318" s="1" t="s">
        <v>48</v>
      </c>
      <c r="I318" s="1" t="s">
        <v>428</v>
      </c>
      <c r="J318" s="1">
        <v>21.0</v>
      </c>
      <c r="K318" s="1">
        <v>10.0</v>
      </c>
      <c r="L318" s="1">
        <v>2019.0</v>
      </c>
      <c r="M318" s="1">
        <v>30.0</v>
      </c>
      <c r="N318" s="1">
        <v>10.0</v>
      </c>
      <c r="O318" s="1">
        <v>2022.0</v>
      </c>
      <c r="P318" s="1" t="s">
        <v>105</v>
      </c>
      <c r="Q318" s="4" t="s">
        <v>51</v>
      </c>
      <c r="R318" s="1" t="s">
        <v>52</v>
      </c>
      <c r="S318" s="1" t="s">
        <v>270</v>
      </c>
      <c r="T318" s="4" t="s">
        <v>106</v>
      </c>
      <c r="U318" s="1">
        <v>2019.0</v>
      </c>
      <c r="V318" s="1"/>
      <c r="W318" s="1"/>
      <c r="X318" s="4" t="s">
        <v>55</v>
      </c>
      <c r="Y318" s="4" t="s">
        <v>45</v>
      </c>
      <c r="Z318" s="1" t="s">
        <v>126</v>
      </c>
      <c r="AA318" s="1" t="s">
        <v>739</v>
      </c>
      <c r="AB318" s="1" t="s">
        <v>2058</v>
      </c>
      <c r="AC318" s="1" t="s">
        <v>1781</v>
      </c>
      <c r="AD318" s="1" t="s">
        <v>1873</v>
      </c>
      <c r="AE318" s="1" t="s">
        <v>60</v>
      </c>
      <c r="AF318" s="1" t="s">
        <v>1687</v>
      </c>
      <c r="AG318" s="4" t="s">
        <v>62</v>
      </c>
      <c r="AH318" s="1">
        <v>8.0</v>
      </c>
      <c r="AI318" s="1">
        <v>7.0</v>
      </c>
      <c r="AJ318" s="1">
        <v>7.0</v>
      </c>
      <c r="AK318" s="1">
        <f t="shared" si="1"/>
        <v>22</v>
      </c>
      <c r="AL318" s="1">
        <v>1.0</v>
      </c>
      <c r="AM318" s="1">
        <v>318.0</v>
      </c>
      <c r="AN318" s="1">
        <f t="shared" si="5"/>
        <v>318</v>
      </c>
      <c r="AO318" s="1">
        <f t="shared" si="6"/>
        <v>1.103144654</v>
      </c>
      <c r="AP318" s="4" t="s">
        <v>1477</v>
      </c>
    </row>
    <row r="319" ht="12.75" customHeight="1">
      <c r="A319" s="1" t="s">
        <v>1597</v>
      </c>
      <c r="B319" s="1" t="s">
        <v>1598</v>
      </c>
      <c r="C319" s="4" t="s">
        <v>44</v>
      </c>
      <c r="D319" s="1" t="s">
        <v>99</v>
      </c>
      <c r="E319" s="1" t="s">
        <v>180</v>
      </c>
      <c r="F319" s="1" t="s">
        <v>183</v>
      </c>
      <c r="G319" s="4" t="s">
        <v>2059</v>
      </c>
      <c r="H319" s="1" t="s">
        <v>48</v>
      </c>
      <c r="I319" s="1" t="s">
        <v>1997</v>
      </c>
      <c r="J319" s="1">
        <v>21.0</v>
      </c>
      <c r="K319" s="1">
        <v>10.0</v>
      </c>
      <c r="L319" s="1">
        <v>2010.0</v>
      </c>
      <c r="M319" s="1">
        <v>11.0</v>
      </c>
      <c r="N319" s="1">
        <v>11.0</v>
      </c>
      <c r="O319" s="1">
        <v>2022.0</v>
      </c>
      <c r="P319" s="1" t="s">
        <v>105</v>
      </c>
      <c r="Q319" s="4" t="s">
        <v>51</v>
      </c>
      <c r="R319" s="1" t="s">
        <v>52</v>
      </c>
      <c r="S319" s="1" t="s">
        <v>300</v>
      </c>
      <c r="T319" s="4" t="s">
        <v>495</v>
      </c>
      <c r="U319" s="1">
        <v>2010.0</v>
      </c>
      <c r="V319" s="1"/>
      <c r="W319" s="1"/>
      <c r="X319" s="4" t="s">
        <v>55</v>
      </c>
      <c r="Y319" s="4" t="s">
        <v>99</v>
      </c>
      <c r="Z319" s="4" t="s">
        <v>183</v>
      </c>
      <c r="AA319" s="4" t="s">
        <v>496</v>
      </c>
      <c r="AB319" s="4" t="s">
        <v>496</v>
      </c>
      <c r="AC319" s="1" t="s">
        <v>465</v>
      </c>
      <c r="AD319" s="1" t="s">
        <v>2060</v>
      </c>
      <c r="AE319" s="1" t="s">
        <v>60</v>
      </c>
      <c r="AF319" s="1" t="s">
        <v>1687</v>
      </c>
      <c r="AG319" s="4" t="s">
        <v>62</v>
      </c>
      <c r="AH319" s="1">
        <v>8.0</v>
      </c>
      <c r="AI319" s="1">
        <v>9.0</v>
      </c>
      <c r="AJ319" s="1">
        <v>9.0</v>
      </c>
      <c r="AK319" s="1">
        <f t="shared" si="1"/>
        <v>26</v>
      </c>
      <c r="AL319" s="1">
        <v>1.0</v>
      </c>
      <c r="AM319" s="1">
        <v>319.0</v>
      </c>
      <c r="AN319" s="1">
        <f t="shared" si="5"/>
        <v>319</v>
      </c>
      <c r="AO319" s="1">
        <f t="shared" si="6"/>
        <v>1.303134796</v>
      </c>
      <c r="AP319" s="4" t="s">
        <v>1599</v>
      </c>
    </row>
    <row r="320" ht="12.75" customHeight="1">
      <c r="A320" s="1" t="s">
        <v>1562</v>
      </c>
      <c r="B320" s="1" t="s">
        <v>1563</v>
      </c>
      <c r="C320" s="4" t="s">
        <v>44</v>
      </c>
      <c r="D320" s="1" t="s">
        <v>148</v>
      </c>
      <c r="E320" s="1" t="s">
        <v>149</v>
      </c>
      <c r="F320" s="1" t="s">
        <v>151</v>
      </c>
      <c r="G320" s="1"/>
      <c r="H320" s="1" t="s">
        <v>48</v>
      </c>
      <c r="I320" s="1" t="s">
        <v>1879</v>
      </c>
      <c r="J320" s="1">
        <v>21.0</v>
      </c>
      <c r="K320" s="1">
        <v>20.0</v>
      </c>
      <c r="L320" s="1">
        <v>2022.0</v>
      </c>
      <c r="M320" s="1">
        <v>7.0</v>
      </c>
      <c r="N320" s="1">
        <v>12.0</v>
      </c>
      <c r="O320" s="1">
        <v>2022.0</v>
      </c>
      <c r="P320" s="1" t="s">
        <v>105</v>
      </c>
      <c r="Q320" s="4" t="s">
        <v>51</v>
      </c>
      <c r="R320" s="1" t="s">
        <v>52</v>
      </c>
      <c r="S320" s="1" t="s">
        <v>106</v>
      </c>
      <c r="T320" s="4" t="s">
        <v>1710</v>
      </c>
      <c r="U320" s="1">
        <v>2020.0</v>
      </c>
      <c r="V320" s="1"/>
      <c r="W320" s="1"/>
      <c r="X320" s="4" t="s">
        <v>55</v>
      </c>
      <c r="Y320" s="4" t="s">
        <v>148</v>
      </c>
      <c r="Z320" s="1" t="s">
        <v>151</v>
      </c>
      <c r="AA320" s="1" t="s">
        <v>2061</v>
      </c>
      <c r="AB320" s="1" t="s">
        <v>2061</v>
      </c>
      <c r="AC320" s="1" t="s">
        <v>1781</v>
      </c>
      <c r="AD320" s="1" t="s">
        <v>2062</v>
      </c>
      <c r="AE320" s="1" t="s">
        <v>60</v>
      </c>
      <c r="AF320" s="1" t="s">
        <v>1687</v>
      </c>
      <c r="AG320" s="4" t="s">
        <v>62</v>
      </c>
      <c r="AH320" s="1">
        <v>6.0</v>
      </c>
      <c r="AI320" s="1">
        <v>7.0</v>
      </c>
      <c r="AJ320" s="1">
        <v>6.0</v>
      </c>
      <c r="AK320" s="1">
        <f t="shared" si="1"/>
        <v>19</v>
      </c>
      <c r="AL320" s="1">
        <v>1.0</v>
      </c>
      <c r="AM320" s="1">
        <v>366.0</v>
      </c>
      <c r="AN320" s="1">
        <f t="shared" si="5"/>
        <v>366</v>
      </c>
      <c r="AO320" s="1">
        <f t="shared" si="6"/>
        <v>0.9527322404</v>
      </c>
      <c r="AP320" s="4" t="s">
        <v>1564</v>
      </c>
    </row>
    <row r="321" ht="12.75" customHeight="1">
      <c r="A321" s="1" t="s">
        <v>884</v>
      </c>
      <c r="B321" s="1" t="s">
        <v>885</v>
      </c>
      <c r="C321" s="4" t="s">
        <v>44</v>
      </c>
      <c r="D321" s="1" t="s">
        <v>99</v>
      </c>
      <c r="E321" s="1" t="s">
        <v>173</v>
      </c>
      <c r="F321" s="1" t="s">
        <v>175</v>
      </c>
      <c r="G321" s="4" t="s">
        <v>2063</v>
      </c>
      <c r="H321" s="1" t="s">
        <v>48</v>
      </c>
      <c r="I321" s="1" t="s">
        <v>1857</v>
      </c>
      <c r="J321" s="1">
        <v>21.0</v>
      </c>
      <c r="K321" s="1">
        <v>20.0</v>
      </c>
      <c r="L321" s="1">
        <v>2020.0</v>
      </c>
      <c r="M321" s="1">
        <v>14.0</v>
      </c>
      <c r="N321" s="1">
        <v>12.0</v>
      </c>
      <c r="O321" s="1">
        <v>2022.0</v>
      </c>
      <c r="P321" s="1" t="s">
        <v>105</v>
      </c>
      <c r="Q321" s="4" t="s">
        <v>51</v>
      </c>
      <c r="R321" s="1" t="s">
        <v>52</v>
      </c>
      <c r="S321" s="1" t="s">
        <v>106</v>
      </c>
      <c r="T321" s="4" t="s">
        <v>2064</v>
      </c>
      <c r="U321" s="4">
        <v>1971.0</v>
      </c>
      <c r="V321" s="1"/>
      <c r="W321" s="1"/>
      <c r="X321" s="4" t="s">
        <v>55</v>
      </c>
      <c r="Y321" s="4" t="s">
        <v>99</v>
      </c>
      <c r="Z321" s="1" t="s">
        <v>175</v>
      </c>
      <c r="AA321" s="1" t="s">
        <v>1699</v>
      </c>
      <c r="AB321" s="1" t="s">
        <v>1699</v>
      </c>
      <c r="AC321" s="1" t="s">
        <v>92</v>
      </c>
      <c r="AD321" s="1" t="s">
        <v>1968</v>
      </c>
      <c r="AE321" s="1" t="s">
        <v>60</v>
      </c>
      <c r="AF321" s="1" t="s">
        <v>1687</v>
      </c>
      <c r="AG321" s="4" t="s">
        <v>62</v>
      </c>
      <c r="AH321" s="1">
        <v>8.0</v>
      </c>
      <c r="AI321" s="1">
        <v>7.0</v>
      </c>
      <c r="AJ321" s="1">
        <v>7.0</v>
      </c>
      <c r="AK321" s="1">
        <f t="shared" si="1"/>
        <v>22</v>
      </c>
      <c r="AL321" s="1">
        <v>1.0</v>
      </c>
      <c r="AM321" s="1">
        <v>188.0</v>
      </c>
      <c r="AN321" s="1">
        <f t="shared" si="5"/>
        <v>188</v>
      </c>
      <c r="AO321" s="1">
        <f t="shared" si="6"/>
        <v>1.105319149</v>
      </c>
      <c r="AP321" s="4" t="s">
        <v>886</v>
      </c>
    </row>
    <row r="322" ht="12.75" customHeight="1">
      <c r="A322" s="1" t="s">
        <v>838</v>
      </c>
      <c r="B322" s="1" t="s">
        <v>839</v>
      </c>
      <c r="C322" s="4" t="s">
        <v>44</v>
      </c>
      <c r="D322" s="1" t="s">
        <v>99</v>
      </c>
      <c r="E322" s="1" t="s">
        <v>180</v>
      </c>
      <c r="F322" s="1" t="s">
        <v>183</v>
      </c>
      <c r="G322" s="1"/>
      <c r="H322" s="1" t="s">
        <v>65</v>
      </c>
      <c r="I322" s="1" t="s">
        <v>458</v>
      </c>
      <c r="J322" s="1">
        <v>21.0</v>
      </c>
      <c r="K322" s="1">
        <v>20.0</v>
      </c>
      <c r="L322" s="1">
        <v>2022.0</v>
      </c>
      <c r="M322" s="1">
        <v>26.0</v>
      </c>
      <c r="N322" s="1">
        <v>12.0</v>
      </c>
      <c r="O322" s="1">
        <v>2022.0</v>
      </c>
      <c r="P322" s="1" t="s">
        <v>105</v>
      </c>
      <c r="Q322" s="4" t="s">
        <v>51</v>
      </c>
      <c r="R322" s="1" t="s">
        <v>52</v>
      </c>
      <c r="S322" s="1" t="s">
        <v>270</v>
      </c>
      <c r="T322" s="4" t="s">
        <v>1710</v>
      </c>
      <c r="U322" s="1">
        <v>2022.0</v>
      </c>
      <c r="V322" s="1"/>
      <c r="W322" s="1"/>
      <c r="X322" s="4" t="s">
        <v>55</v>
      </c>
      <c r="Y322" s="4" t="s">
        <v>99</v>
      </c>
      <c r="Z322" s="1" t="s">
        <v>183</v>
      </c>
      <c r="AA322" s="1" t="s">
        <v>2065</v>
      </c>
      <c r="AB322" s="1" t="s">
        <v>2066</v>
      </c>
      <c r="AC322" s="1" t="s">
        <v>69</v>
      </c>
      <c r="AD322" s="1" t="s">
        <v>2067</v>
      </c>
      <c r="AE322" s="1" t="s">
        <v>60</v>
      </c>
      <c r="AF322" s="1" t="s">
        <v>1687</v>
      </c>
      <c r="AG322" s="4" t="s">
        <v>62</v>
      </c>
      <c r="AH322" s="1">
        <v>8.0</v>
      </c>
      <c r="AI322" s="1">
        <v>8.0</v>
      </c>
      <c r="AJ322" s="1">
        <v>8.0</v>
      </c>
      <c r="AK322" s="1">
        <f t="shared" si="1"/>
        <v>24</v>
      </c>
      <c r="AL322" s="1">
        <v>1.0</v>
      </c>
      <c r="AM322" s="1">
        <v>253.0</v>
      </c>
      <c r="AN322" s="1">
        <f t="shared" si="5"/>
        <v>253</v>
      </c>
      <c r="AO322" s="1">
        <f t="shared" si="6"/>
        <v>1.203952569</v>
      </c>
      <c r="AP322" s="4" t="s">
        <v>840</v>
      </c>
    </row>
    <row r="323" ht="12.75" customHeight="1">
      <c r="A323" s="1" t="s">
        <v>844</v>
      </c>
      <c r="B323" s="1" t="s">
        <v>845</v>
      </c>
      <c r="C323" s="4" t="s">
        <v>44</v>
      </c>
      <c r="D323" s="1" t="s">
        <v>148</v>
      </c>
      <c r="E323" s="1" t="s">
        <v>160</v>
      </c>
      <c r="F323" s="1" t="s">
        <v>165</v>
      </c>
      <c r="G323" s="1"/>
      <c r="H323" s="1" t="s">
        <v>65</v>
      </c>
      <c r="I323" s="1" t="s">
        <v>1997</v>
      </c>
      <c r="J323" s="1">
        <v>21.0</v>
      </c>
      <c r="K323" s="1">
        <v>0.0</v>
      </c>
      <c r="L323" s="1">
        <v>2000.0</v>
      </c>
      <c r="M323" s="1">
        <v>16.0</v>
      </c>
      <c r="N323" s="1">
        <v>1.0</v>
      </c>
      <c r="O323" s="1">
        <v>2023.0</v>
      </c>
      <c r="P323" s="1" t="s">
        <v>105</v>
      </c>
      <c r="Q323" s="4" t="s">
        <v>51</v>
      </c>
      <c r="R323" s="1" t="s">
        <v>52</v>
      </c>
      <c r="S323" s="1" t="s">
        <v>270</v>
      </c>
      <c r="T323" s="4" t="s">
        <v>106</v>
      </c>
      <c r="U323" s="1">
        <v>2000.0</v>
      </c>
      <c r="V323" s="1"/>
      <c r="W323" s="1"/>
      <c r="X323" s="4" t="s">
        <v>55</v>
      </c>
      <c r="Y323" s="4" t="s">
        <v>148</v>
      </c>
      <c r="Z323" s="1" t="s">
        <v>165</v>
      </c>
      <c r="AA323" s="1" t="s">
        <v>2068</v>
      </c>
      <c r="AB323" s="1" t="s">
        <v>2068</v>
      </c>
      <c r="AC323" s="1" t="s">
        <v>1781</v>
      </c>
      <c r="AD323" s="1" t="s">
        <v>568</v>
      </c>
      <c r="AE323" s="1" t="s">
        <v>60</v>
      </c>
      <c r="AF323" s="1" t="s">
        <v>1687</v>
      </c>
      <c r="AG323" s="4" t="s">
        <v>62</v>
      </c>
      <c r="AH323" s="1">
        <v>8.0</v>
      </c>
      <c r="AI323" s="1">
        <v>8.0</v>
      </c>
      <c r="AJ323" s="1">
        <v>7.0</v>
      </c>
      <c r="AK323" s="1">
        <f t="shared" si="1"/>
        <v>23</v>
      </c>
      <c r="AL323" s="1">
        <v>1.0</v>
      </c>
      <c r="AM323" s="1">
        <v>381.0</v>
      </c>
      <c r="AN323" s="1">
        <f t="shared" si="5"/>
        <v>381</v>
      </c>
      <c r="AO323" s="1">
        <f t="shared" si="6"/>
        <v>1.152624672</v>
      </c>
      <c r="AP323" s="4" t="s">
        <v>846</v>
      </c>
    </row>
    <row r="324" ht="12.75" customHeight="1">
      <c r="A324" s="1" t="s">
        <v>893</v>
      </c>
      <c r="B324" s="1" t="s">
        <v>894</v>
      </c>
      <c r="C324" s="4" t="s">
        <v>44</v>
      </c>
      <c r="D324" s="1" t="s">
        <v>45</v>
      </c>
      <c r="E324" s="4" t="s">
        <v>124</v>
      </c>
      <c r="F324" s="1" t="s">
        <v>126</v>
      </c>
      <c r="G324" s="1"/>
      <c r="H324" s="1" t="s">
        <v>48</v>
      </c>
      <c r="I324" s="1" t="s">
        <v>2069</v>
      </c>
      <c r="J324" s="1">
        <v>21.0</v>
      </c>
      <c r="K324" s="1">
        <v>20.0</v>
      </c>
      <c r="L324" s="1">
        <v>2022.0</v>
      </c>
      <c r="M324" s="1">
        <v>9.0</v>
      </c>
      <c r="N324" s="1">
        <v>2.0</v>
      </c>
      <c r="O324" s="1">
        <v>2023.0</v>
      </c>
      <c r="P324" s="1" t="s">
        <v>105</v>
      </c>
      <c r="Q324" s="4" t="s">
        <v>51</v>
      </c>
      <c r="R324" s="1" t="s">
        <v>52</v>
      </c>
      <c r="S324" s="1" t="s">
        <v>292</v>
      </c>
      <c r="T324" s="4" t="s">
        <v>1710</v>
      </c>
      <c r="U324" s="1">
        <v>2022.0</v>
      </c>
      <c r="V324" s="1"/>
      <c r="W324" s="1"/>
      <c r="X324" s="4" t="s">
        <v>55</v>
      </c>
      <c r="Y324" s="4" t="s">
        <v>45</v>
      </c>
      <c r="Z324" s="1" t="s">
        <v>126</v>
      </c>
      <c r="AA324" s="1" t="s">
        <v>2070</v>
      </c>
      <c r="AB324" s="1" t="s">
        <v>2071</v>
      </c>
      <c r="AC324" s="1" t="s">
        <v>465</v>
      </c>
      <c r="AD324" s="1" t="s">
        <v>2067</v>
      </c>
      <c r="AE324" s="1" t="s">
        <v>60</v>
      </c>
      <c r="AF324" s="1" t="s">
        <v>1687</v>
      </c>
      <c r="AG324" s="4" t="s">
        <v>62</v>
      </c>
      <c r="AH324" s="1">
        <v>7.0</v>
      </c>
      <c r="AI324" s="1">
        <v>8.0</v>
      </c>
      <c r="AJ324" s="1">
        <v>8.0</v>
      </c>
      <c r="AK324" s="1">
        <f t="shared" si="1"/>
        <v>23</v>
      </c>
      <c r="AL324" s="1">
        <v>1.0</v>
      </c>
      <c r="AM324" s="1">
        <v>382.0</v>
      </c>
      <c r="AN324" s="1">
        <f t="shared" si="5"/>
        <v>382</v>
      </c>
      <c r="AO324" s="1">
        <f t="shared" si="6"/>
        <v>1.152617801</v>
      </c>
      <c r="AP324" s="4" t="s">
        <v>895</v>
      </c>
    </row>
    <row r="325" ht="12.75" customHeight="1">
      <c r="A325" s="1" t="s">
        <v>1540</v>
      </c>
      <c r="B325" s="1" t="s">
        <v>1541</v>
      </c>
      <c r="C325" s="4" t="s">
        <v>44</v>
      </c>
      <c r="D325" s="1" t="s">
        <v>45</v>
      </c>
      <c r="E325" s="4" t="s">
        <v>124</v>
      </c>
      <c r="F325" s="1" t="s">
        <v>126</v>
      </c>
      <c r="G325" s="1"/>
      <c r="H325" s="1" t="s">
        <v>48</v>
      </c>
      <c r="I325" s="1" t="s">
        <v>1863</v>
      </c>
      <c r="J325" s="1">
        <v>20.0</v>
      </c>
      <c r="K325" s="1">
        <v>80.0</v>
      </c>
      <c r="L325" s="1">
        <v>1987.0</v>
      </c>
      <c r="M325" s="1">
        <v>21.0</v>
      </c>
      <c r="N325" s="1">
        <v>2.0</v>
      </c>
      <c r="O325" s="1">
        <v>2023.0</v>
      </c>
      <c r="P325" s="1" t="s">
        <v>105</v>
      </c>
      <c r="Q325" s="4" t="s">
        <v>51</v>
      </c>
      <c r="R325" s="1" t="s">
        <v>52</v>
      </c>
      <c r="S325" s="1" t="s">
        <v>268</v>
      </c>
      <c r="T325" s="4" t="s">
        <v>1805</v>
      </c>
      <c r="U325" s="1">
        <v>1965.0</v>
      </c>
      <c r="V325" s="1"/>
      <c r="W325" s="1"/>
      <c r="X325" s="4" t="s">
        <v>55</v>
      </c>
      <c r="Y325" s="4" t="s">
        <v>45</v>
      </c>
      <c r="Z325" s="1" t="s">
        <v>126</v>
      </c>
      <c r="AA325" s="1" t="s">
        <v>1851</v>
      </c>
      <c r="AB325" s="1" t="s">
        <v>2072</v>
      </c>
      <c r="AC325" s="1" t="s">
        <v>19</v>
      </c>
      <c r="AD325" s="1" t="s">
        <v>1726</v>
      </c>
      <c r="AE325" s="1" t="s">
        <v>60</v>
      </c>
      <c r="AF325" s="1" t="s">
        <v>1687</v>
      </c>
      <c r="AG325" s="4" t="s">
        <v>62</v>
      </c>
      <c r="AH325" s="1">
        <v>9.0</v>
      </c>
      <c r="AI325" s="1">
        <v>9.0</v>
      </c>
      <c r="AJ325" s="1">
        <v>8.0</v>
      </c>
      <c r="AK325" s="1">
        <f t="shared" si="1"/>
        <v>26</v>
      </c>
      <c r="AL325" s="1">
        <v>1.0</v>
      </c>
      <c r="AM325" s="1">
        <v>287.0</v>
      </c>
      <c r="AN325" s="1">
        <f t="shared" si="5"/>
        <v>287</v>
      </c>
      <c r="AO325" s="1">
        <f t="shared" si="6"/>
        <v>1.303484321</v>
      </c>
      <c r="AP325" s="4" t="s">
        <v>1542</v>
      </c>
    </row>
    <row r="326" ht="12.75" customHeight="1">
      <c r="A326" s="1" t="s">
        <v>736</v>
      </c>
      <c r="B326" s="1" t="s">
        <v>737</v>
      </c>
      <c r="C326" s="4" t="s">
        <v>44</v>
      </c>
      <c r="D326" s="1" t="s">
        <v>45</v>
      </c>
      <c r="E326" s="4" t="s">
        <v>124</v>
      </c>
      <c r="F326" s="1" t="s">
        <v>126</v>
      </c>
      <c r="G326" s="1"/>
      <c r="H326" s="1" t="s">
        <v>48</v>
      </c>
      <c r="I326" s="1" t="s">
        <v>2073</v>
      </c>
      <c r="J326" s="1">
        <v>21.0</v>
      </c>
      <c r="K326" s="1">
        <v>20.0</v>
      </c>
      <c r="L326" s="1">
        <v>2022.0</v>
      </c>
      <c r="M326" s="1">
        <v>28.0</v>
      </c>
      <c r="N326" s="1">
        <v>2.0</v>
      </c>
      <c r="O326" s="1">
        <v>2023.0</v>
      </c>
      <c r="P326" s="1" t="s">
        <v>105</v>
      </c>
      <c r="Q326" s="4" t="s">
        <v>51</v>
      </c>
      <c r="R326" s="1" t="s">
        <v>52</v>
      </c>
      <c r="S326" s="1" t="s">
        <v>106</v>
      </c>
      <c r="T326" s="4" t="s">
        <v>1710</v>
      </c>
      <c r="U326" s="1">
        <v>2022.0</v>
      </c>
      <c r="V326" s="1"/>
      <c r="W326" s="1"/>
      <c r="X326" s="4" t="s">
        <v>55</v>
      </c>
      <c r="Y326" s="4" t="s">
        <v>212</v>
      </c>
      <c r="Z326" s="1" t="s">
        <v>2074</v>
      </c>
      <c r="AA326" s="1" t="s">
        <v>2075</v>
      </c>
      <c r="AB326" s="1" t="s">
        <v>2076</v>
      </c>
      <c r="AC326" s="1" t="s">
        <v>1781</v>
      </c>
      <c r="AD326" s="1" t="s">
        <v>2077</v>
      </c>
      <c r="AE326" s="1" t="s">
        <v>60</v>
      </c>
      <c r="AF326" s="1" t="s">
        <v>1687</v>
      </c>
      <c r="AG326" s="4" t="s">
        <v>62</v>
      </c>
      <c r="AH326" s="1">
        <v>8.0</v>
      </c>
      <c r="AI326" s="1">
        <v>8.0</v>
      </c>
      <c r="AJ326" s="1">
        <v>7.0</v>
      </c>
      <c r="AK326" s="1">
        <f t="shared" si="1"/>
        <v>23</v>
      </c>
      <c r="AL326" s="1">
        <v>1.0</v>
      </c>
      <c r="AM326" s="1">
        <v>399.0</v>
      </c>
      <c r="AN326" s="1">
        <f t="shared" si="5"/>
        <v>399</v>
      </c>
      <c r="AO326" s="1">
        <f t="shared" si="6"/>
        <v>1.152506266</v>
      </c>
      <c r="AP326" s="4" t="s">
        <v>738</v>
      </c>
    </row>
    <row r="327" ht="12.75" customHeight="1">
      <c r="A327" s="1" t="s">
        <v>802</v>
      </c>
      <c r="B327" s="1" t="s">
        <v>803</v>
      </c>
      <c r="C327" s="4" t="s">
        <v>44</v>
      </c>
      <c r="D327" s="1" t="s">
        <v>212</v>
      </c>
      <c r="E327" s="1" t="s">
        <v>212</v>
      </c>
      <c r="F327" s="1" t="s">
        <v>213</v>
      </c>
      <c r="G327" s="4" t="s">
        <v>2078</v>
      </c>
      <c r="H327" s="1" t="s">
        <v>48</v>
      </c>
      <c r="I327" s="1" t="s">
        <v>2079</v>
      </c>
      <c r="J327" s="1">
        <v>21.0</v>
      </c>
      <c r="K327" s="1">
        <v>20.0</v>
      </c>
      <c r="L327" s="1">
        <v>2020.0</v>
      </c>
      <c r="M327" s="1">
        <v>19.0</v>
      </c>
      <c r="N327" s="1">
        <v>3.0</v>
      </c>
      <c r="O327" s="1">
        <v>2023.0</v>
      </c>
      <c r="P327" s="1" t="s">
        <v>105</v>
      </c>
      <c r="Q327" s="4" t="s">
        <v>51</v>
      </c>
      <c r="R327" s="1" t="s">
        <v>52</v>
      </c>
      <c r="S327" s="1" t="s">
        <v>106</v>
      </c>
      <c r="T327" s="4" t="s">
        <v>106</v>
      </c>
      <c r="U327" s="4">
        <v>2100.0</v>
      </c>
      <c r="V327" s="1"/>
      <c r="W327" s="1"/>
      <c r="X327" s="4" t="s">
        <v>55</v>
      </c>
      <c r="Y327" s="4" t="s">
        <v>99</v>
      </c>
      <c r="Z327" s="4" t="s">
        <v>2080</v>
      </c>
      <c r="AA327" s="4" t="s">
        <v>2081</v>
      </c>
      <c r="AB327" s="4" t="s">
        <v>2081</v>
      </c>
      <c r="AC327" s="1" t="s">
        <v>465</v>
      </c>
      <c r="AD327" s="1" t="s">
        <v>2082</v>
      </c>
      <c r="AE327" s="1" t="s">
        <v>2083</v>
      </c>
      <c r="AF327" s="1" t="s">
        <v>1687</v>
      </c>
      <c r="AG327" s="4" t="s">
        <v>62</v>
      </c>
      <c r="AH327" s="1">
        <v>8.0</v>
      </c>
      <c r="AI327" s="1">
        <v>8.0</v>
      </c>
      <c r="AJ327" s="1">
        <v>8.0</v>
      </c>
      <c r="AK327" s="1">
        <f t="shared" si="1"/>
        <v>24</v>
      </c>
      <c r="AL327" s="1">
        <v>1.0</v>
      </c>
      <c r="AM327" s="1">
        <v>341.0</v>
      </c>
      <c r="AN327" s="1">
        <f t="shared" si="5"/>
        <v>341</v>
      </c>
      <c r="AO327" s="1">
        <f t="shared" si="6"/>
        <v>1.202932551</v>
      </c>
      <c r="AP327" s="4" t="s">
        <v>804</v>
      </c>
    </row>
    <row r="328" ht="12.75" customHeight="1">
      <c r="A328" s="1" t="s">
        <v>1493</v>
      </c>
      <c r="B328" s="1" t="s">
        <v>1494</v>
      </c>
      <c r="C328" s="4" t="s">
        <v>44</v>
      </c>
      <c r="D328" s="1" t="s">
        <v>45</v>
      </c>
      <c r="E328" s="4" t="s">
        <v>124</v>
      </c>
      <c r="F328" s="1" t="s">
        <v>126</v>
      </c>
      <c r="G328" s="1"/>
      <c r="H328" s="1" t="s">
        <v>48</v>
      </c>
      <c r="I328" s="1" t="s">
        <v>1668</v>
      </c>
      <c r="J328" s="1">
        <v>21.0</v>
      </c>
      <c r="K328" s="1">
        <v>20.0</v>
      </c>
      <c r="L328" s="1">
        <v>2022.0</v>
      </c>
      <c r="M328" s="1">
        <v>3.0</v>
      </c>
      <c r="N328" s="1">
        <v>4.0</v>
      </c>
      <c r="O328" s="1">
        <v>2023.0</v>
      </c>
      <c r="P328" s="1" t="s">
        <v>105</v>
      </c>
      <c r="Q328" s="4" t="s">
        <v>51</v>
      </c>
      <c r="R328" s="1" t="s">
        <v>52</v>
      </c>
      <c r="S328" s="1" t="s">
        <v>270</v>
      </c>
      <c r="T328" s="4" t="s">
        <v>1710</v>
      </c>
      <c r="U328" s="1">
        <v>2022.0</v>
      </c>
      <c r="V328" s="1"/>
      <c r="W328" s="1"/>
      <c r="X328" s="4" t="s">
        <v>55</v>
      </c>
      <c r="Y328" s="4" t="s">
        <v>45</v>
      </c>
      <c r="Z328" s="1" t="s">
        <v>126</v>
      </c>
      <c r="AA328" s="1" t="s">
        <v>249</v>
      </c>
      <c r="AB328" s="1" t="s">
        <v>250</v>
      </c>
      <c r="AC328" s="1" t="s">
        <v>69</v>
      </c>
      <c r="AD328" s="1" t="s">
        <v>385</v>
      </c>
      <c r="AE328" s="1" t="s">
        <v>60</v>
      </c>
      <c r="AF328" s="1" t="s">
        <v>1687</v>
      </c>
      <c r="AG328" s="4" t="s">
        <v>62</v>
      </c>
      <c r="AH328" s="1">
        <v>7.0</v>
      </c>
      <c r="AI328" s="1">
        <v>6.0</v>
      </c>
      <c r="AJ328" s="1">
        <v>7.0</v>
      </c>
      <c r="AK328" s="1">
        <f t="shared" si="1"/>
        <v>20</v>
      </c>
      <c r="AL328" s="1">
        <v>1.0</v>
      </c>
      <c r="AM328" s="1">
        <v>349.0</v>
      </c>
      <c r="AN328" s="1">
        <f t="shared" si="5"/>
        <v>349</v>
      </c>
      <c r="AO328" s="1">
        <f t="shared" si="6"/>
        <v>1.00286533</v>
      </c>
      <c r="AP328" s="4" t="s">
        <v>1495</v>
      </c>
    </row>
    <row r="329" ht="12.75" customHeight="1">
      <c r="A329" s="1" t="s">
        <v>1156</v>
      </c>
      <c r="B329" s="1" t="s">
        <v>1158</v>
      </c>
      <c r="C329" s="4" t="s">
        <v>44</v>
      </c>
      <c r="D329" s="1" t="s">
        <v>99</v>
      </c>
      <c r="E329" s="1" t="s">
        <v>180</v>
      </c>
      <c r="F329" s="1" t="s">
        <v>183</v>
      </c>
      <c r="G329" s="1"/>
      <c r="H329" s="1" t="s">
        <v>48</v>
      </c>
      <c r="I329" s="1" t="s">
        <v>2084</v>
      </c>
      <c r="J329" s="1">
        <v>21.0</v>
      </c>
      <c r="K329" s="1">
        <v>10.0</v>
      </c>
      <c r="L329" s="1">
        <v>2019.0</v>
      </c>
      <c r="M329" s="1">
        <v>23.0</v>
      </c>
      <c r="N329" s="1">
        <v>4.0</v>
      </c>
      <c r="O329" s="1">
        <v>2023.0</v>
      </c>
      <c r="P329" s="1" t="s">
        <v>105</v>
      </c>
      <c r="Q329" s="4" t="s">
        <v>51</v>
      </c>
      <c r="R329" s="1" t="s">
        <v>52</v>
      </c>
      <c r="S329" s="1" t="s">
        <v>106</v>
      </c>
      <c r="T329" s="4" t="s">
        <v>495</v>
      </c>
      <c r="U329" s="1">
        <v>2019.0</v>
      </c>
      <c r="V329" s="1"/>
      <c r="W329" s="1"/>
      <c r="X329" s="4" t="s">
        <v>55</v>
      </c>
      <c r="Y329" s="4" t="s">
        <v>99</v>
      </c>
      <c r="Z329" s="1" t="s">
        <v>183</v>
      </c>
      <c r="AA329" s="1" t="s">
        <v>496</v>
      </c>
      <c r="AB329" s="1" t="s">
        <v>496</v>
      </c>
      <c r="AC329" s="1" t="s">
        <v>69</v>
      </c>
      <c r="AD329" s="1" t="s">
        <v>562</v>
      </c>
      <c r="AE329" s="1" t="s">
        <v>60</v>
      </c>
      <c r="AF329" s="1" t="s">
        <v>1687</v>
      </c>
      <c r="AG329" s="4" t="s">
        <v>62</v>
      </c>
      <c r="AH329" s="1">
        <v>8.0</v>
      </c>
      <c r="AI329" s="1">
        <v>8.0</v>
      </c>
      <c r="AJ329" s="1">
        <v>8.0</v>
      </c>
      <c r="AK329" s="1">
        <f t="shared" si="1"/>
        <v>24</v>
      </c>
      <c r="AL329" s="1">
        <v>1.0</v>
      </c>
      <c r="AM329" s="1">
        <v>319.0</v>
      </c>
      <c r="AN329" s="1">
        <f t="shared" si="5"/>
        <v>319</v>
      </c>
      <c r="AO329" s="1">
        <f t="shared" si="6"/>
        <v>1.203134796</v>
      </c>
      <c r="AP329" s="4" t="s">
        <v>1159</v>
      </c>
    </row>
    <row r="330" ht="12.75" customHeight="1">
      <c r="A330" s="1" t="s">
        <v>813</v>
      </c>
      <c r="B330" s="1" t="s">
        <v>814</v>
      </c>
      <c r="C330" s="4" t="s">
        <v>44</v>
      </c>
      <c r="D330" s="1" t="s">
        <v>99</v>
      </c>
      <c r="E330" s="1" t="s">
        <v>100</v>
      </c>
      <c r="F330" s="1" t="s">
        <v>101</v>
      </c>
      <c r="G330" s="4" t="s">
        <v>2085</v>
      </c>
      <c r="H330" s="1" t="s">
        <v>48</v>
      </c>
      <c r="I330" s="1" t="s">
        <v>1789</v>
      </c>
      <c r="J330" s="1">
        <v>21.0</v>
      </c>
      <c r="K330" s="1">
        <v>20.0</v>
      </c>
      <c r="L330" s="1">
        <v>2020.0</v>
      </c>
      <c r="M330" s="1">
        <v>22.0</v>
      </c>
      <c r="N330" s="1">
        <v>5.0</v>
      </c>
      <c r="O330" s="1">
        <v>2023.0</v>
      </c>
      <c r="P330" s="1" t="s">
        <v>105</v>
      </c>
      <c r="Q330" s="4" t="s">
        <v>51</v>
      </c>
      <c r="R330" s="1" t="s">
        <v>52</v>
      </c>
      <c r="S330" s="1" t="s">
        <v>301</v>
      </c>
      <c r="T330" s="4" t="s">
        <v>410</v>
      </c>
      <c r="U330" s="4">
        <v>1840.0</v>
      </c>
      <c r="V330" s="1"/>
      <c r="W330" s="1"/>
      <c r="X330" s="4" t="s">
        <v>55</v>
      </c>
      <c r="Y330" s="4" t="s">
        <v>212</v>
      </c>
      <c r="Z330" s="1" t="s">
        <v>213</v>
      </c>
      <c r="AA330" s="1" t="s">
        <v>2086</v>
      </c>
      <c r="AB330" s="4" t="s">
        <v>2087</v>
      </c>
      <c r="AC330" s="1" t="s">
        <v>465</v>
      </c>
      <c r="AD330" s="1" t="s">
        <v>1889</v>
      </c>
      <c r="AE330" s="1" t="s">
        <v>60</v>
      </c>
      <c r="AF330" s="1" t="s">
        <v>1687</v>
      </c>
      <c r="AG330" s="4" t="s">
        <v>62</v>
      </c>
      <c r="AH330" s="1">
        <v>7.0</v>
      </c>
      <c r="AI330" s="1">
        <v>8.0</v>
      </c>
      <c r="AJ330" s="1">
        <v>7.0</v>
      </c>
      <c r="AK330" s="1">
        <f t="shared" si="1"/>
        <v>22</v>
      </c>
      <c r="AL330" s="1">
        <v>1.0</v>
      </c>
      <c r="AM330" s="1">
        <v>317.0</v>
      </c>
      <c r="AN330" s="1">
        <f t="shared" si="5"/>
        <v>317</v>
      </c>
      <c r="AO330" s="1">
        <f t="shared" si="6"/>
        <v>1.103154574</v>
      </c>
      <c r="AP330" s="4" t="s">
        <v>815</v>
      </c>
    </row>
    <row r="331" ht="12.75" customHeight="1">
      <c r="A331" s="1" t="s">
        <v>1322</v>
      </c>
      <c r="B331" s="1" t="s">
        <v>1323</v>
      </c>
      <c r="C331" s="4" t="s">
        <v>44</v>
      </c>
      <c r="D331" s="1" t="s">
        <v>148</v>
      </c>
      <c r="E331" s="1" t="s">
        <v>149</v>
      </c>
      <c r="F331" s="1" t="s">
        <v>152</v>
      </c>
      <c r="G331" s="4" t="s">
        <v>2088</v>
      </c>
      <c r="H331" s="1" t="s">
        <v>65</v>
      </c>
      <c r="I331" s="1" t="s">
        <v>1997</v>
      </c>
      <c r="J331" s="1">
        <v>21.0</v>
      </c>
      <c r="K331" s="1">
        <v>10.0</v>
      </c>
      <c r="L331" s="1">
        <v>2013.0</v>
      </c>
      <c r="M331" s="1">
        <v>31.0</v>
      </c>
      <c r="N331" s="1">
        <v>5.0</v>
      </c>
      <c r="O331" s="1">
        <v>2023.0</v>
      </c>
      <c r="P331" s="1" t="s">
        <v>105</v>
      </c>
      <c r="Q331" s="4" t="s">
        <v>51</v>
      </c>
      <c r="R331" s="1" t="s">
        <v>52</v>
      </c>
      <c r="S331" s="1" t="s">
        <v>106</v>
      </c>
      <c r="T331" s="4" t="s">
        <v>106</v>
      </c>
      <c r="U331" s="1">
        <v>2013.0</v>
      </c>
      <c r="V331" s="1"/>
      <c r="W331" s="1"/>
      <c r="X331" s="4" t="s">
        <v>55</v>
      </c>
      <c r="Y331" s="4" t="s">
        <v>148</v>
      </c>
      <c r="Z331" s="4" t="s">
        <v>152</v>
      </c>
      <c r="AA331" s="4" t="s">
        <v>2089</v>
      </c>
      <c r="AB331" s="4" t="s">
        <v>2089</v>
      </c>
      <c r="AC331" s="1" t="s">
        <v>1781</v>
      </c>
      <c r="AD331" s="1" t="s">
        <v>2090</v>
      </c>
      <c r="AE331" s="1" t="s">
        <v>60</v>
      </c>
      <c r="AF331" s="1" t="s">
        <v>1687</v>
      </c>
      <c r="AG331" s="4" t="s">
        <v>62</v>
      </c>
      <c r="AH331" s="1">
        <v>8.0</v>
      </c>
      <c r="AI331" s="1">
        <v>8.0</v>
      </c>
      <c r="AJ331" s="1">
        <v>8.0</v>
      </c>
      <c r="AK331" s="1">
        <f t="shared" si="1"/>
        <v>24</v>
      </c>
      <c r="AL331" s="1">
        <v>1.0</v>
      </c>
      <c r="AM331" s="1">
        <v>175.0</v>
      </c>
      <c r="AN331" s="1">
        <f t="shared" si="5"/>
        <v>175</v>
      </c>
      <c r="AO331" s="1">
        <f t="shared" si="6"/>
        <v>1.205714286</v>
      </c>
      <c r="AP331" s="4" t="s">
        <v>1324</v>
      </c>
    </row>
    <row r="332" ht="12.75" customHeight="1">
      <c r="A332" s="1" t="s">
        <v>1478</v>
      </c>
      <c r="B332" s="1" t="s">
        <v>1479</v>
      </c>
      <c r="C332" s="4" t="s">
        <v>44</v>
      </c>
      <c r="D332" s="1" t="s">
        <v>45</v>
      </c>
      <c r="E332" s="4" t="s">
        <v>124</v>
      </c>
      <c r="F332" s="1" t="s">
        <v>126</v>
      </c>
      <c r="G332" s="1"/>
      <c r="H332" s="1" t="s">
        <v>48</v>
      </c>
      <c r="I332" s="1" t="s">
        <v>2079</v>
      </c>
      <c r="J332" s="1">
        <v>21.0</v>
      </c>
      <c r="K332" s="1">
        <v>20.0</v>
      </c>
      <c r="L332" s="1">
        <v>2023.0</v>
      </c>
      <c r="M332" s="1">
        <v>23.0</v>
      </c>
      <c r="N332" s="1">
        <v>6.0</v>
      </c>
      <c r="O332" s="1">
        <v>2023.0</v>
      </c>
      <c r="P332" s="1" t="s">
        <v>105</v>
      </c>
      <c r="Q332" s="4" t="s">
        <v>51</v>
      </c>
      <c r="R332" s="1" t="s">
        <v>52</v>
      </c>
      <c r="S332" s="1" t="s">
        <v>106</v>
      </c>
      <c r="T332" s="4" t="s">
        <v>1710</v>
      </c>
      <c r="U332" s="1">
        <v>2023.0</v>
      </c>
      <c r="V332" s="1"/>
      <c r="W332" s="1"/>
      <c r="X332" s="4" t="s">
        <v>55</v>
      </c>
      <c r="Y332" s="4" t="s">
        <v>45</v>
      </c>
      <c r="Z332" s="1" t="s">
        <v>126</v>
      </c>
      <c r="AA332" s="1" t="s">
        <v>605</v>
      </c>
      <c r="AB332" s="1" t="s">
        <v>2091</v>
      </c>
      <c r="AC332" s="1" t="s">
        <v>58</v>
      </c>
      <c r="AD332" s="1" t="s">
        <v>2092</v>
      </c>
      <c r="AE332" s="1" t="s">
        <v>2093</v>
      </c>
      <c r="AF332" s="1" t="s">
        <v>1687</v>
      </c>
      <c r="AG332" s="4" t="s">
        <v>62</v>
      </c>
      <c r="AH332" s="1">
        <v>7.0</v>
      </c>
      <c r="AI332" s="1">
        <v>7.0</v>
      </c>
      <c r="AJ332" s="1">
        <v>7.0</v>
      </c>
      <c r="AK332" s="1">
        <f t="shared" si="1"/>
        <v>21</v>
      </c>
      <c r="AL332" s="1">
        <v>1.0</v>
      </c>
      <c r="AM332" s="1">
        <v>389.0</v>
      </c>
      <c r="AN332" s="1">
        <f t="shared" si="5"/>
        <v>389</v>
      </c>
      <c r="AO332" s="1">
        <f t="shared" si="6"/>
        <v>1.052570694</v>
      </c>
      <c r="AP332" s="4" t="s">
        <v>1480</v>
      </c>
    </row>
    <row r="333" ht="12.75" customHeight="1">
      <c r="A333" s="4" t="s">
        <v>821</v>
      </c>
      <c r="B333" s="4" t="s">
        <v>822</v>
      </c>
      <c r="C333" s="4" t="s">
        <v>44</v>
      </c>
      <c r="D333" s="4" t="s">
        <v>99</v>
      </c>
      <c r="E333" s="4" t="s">
        <v>180</v>
      </c>
      <c r="F333" s="4" t="s">
        <v>183</v>
      </c>
      <c r="G333" s="4" t="s">
        <v>2094</v>
      </c>
      <c r="H333" s="4" t="s">
        <v>48</v>
      </c>
      <c r="I333" s="4" t="s">
        <v>1684</v>
      </c>
      <c r="J333" s="4">
        <v>20.0</v>
      </c>
      <c r="K333" s="4">
        <v>20.0</v>
      </c>
      <c r="L333" s="4">
        <v>2021.0</v>
      </c>
      <c r="M333" s="4">
        <v>28.0</v>
      </c>
      <c r="N333" s="4">
        <v>6.0</v>
      </c>
      <c r="O333" s="4">
        <v>2023.0</v>
      </c>
      <c r="P333" s="4" t="s">
        <v>105</v>
      </c>
      <c r="Q333" s="4" t="s">
        <v>51</v>
      </c>
      <c r="R333" s="4" t="s">
        <v>52</v>
      </c>
      <c r="S333" s="4" t="s">
        <v>292</v>
      </c>
      <c r="T333" s="4" t="s">
        <v>495</v>
      </c>
      <c r="U333" s="4">
        <v>1989.0</v>
      </c>
      <c r="V333" s="1"/>
      <c r="W333" s="1"/>
      <c r="X333" s="4" t="s">
        <v>55</v>
      </c>
      <c r="Y333" s="4" t="s">
        <v>99</v>
      </c>
      <c r="Z333" s="4" t="s">
        <v>183</v>
      </c>
      <c r="AA333" s="4" t="s">
        <v>2095</v>
      </c>
      <c r="AB333" s="4" t="s">
        <v>2014</v>
      </c>
      <c r="AC333" s="4" t="s">
        <v>561</v>
      </c>
      <c r="AD333" s="4" t="s">
        <v>2060</v>
      </c>
      <c r="AE333" s="4" t="s">
        <v>60</v>
      </c>
      <c r="AF333" s="4" t="s">
        <v>1687</v>
      </c>
      <c r="AG333" s="4" t="s">
        <v>62</v>
      </c>
      <c r="AH333" s="4">
        <v>8.0</v>
      </c>
      <c r="AI333" s="4">
        <v>9.0</v>
      </c>
      <c r="AJ333" s="4">
        <v>8.0</v>
      </c>
      <c r="AK333" s="1">
        <f t="shared" si="1"/>
        <v>25</v>
      </c>
      <c r="AL333" s="1">
        <v>1.0</v>
      </c>
      <c r="AM333" s="4">
        <v>153.0</v>
      </c>
      <c r="AN333" s="1">
        <f t="shared" si="5"/>
        <v>153</v>
      </c>
      <c r="AO333" s="1">
        <f t="shared" si="6"/>
        <v>1.256535948</v>
      </c>
      <c r="AP333" s="4" t="s">
        <v>823</v>
      </c>
    </row>
    <row r="334" ht="12.75" customHeight="1">
      <c r="A334" s="1" t="s">
        <v>1144</v>
      </c>
      <c r="B334" s="1" t="s">
        <v>1145</v>
      </c>
      <c r="C334" s="4" t="s">
        <v>44</v>
      </c>
      <c r="D334" s="1" t="s">
        <v>148</v>
      </c>
      <c r="E334" s="1" t="s">
        <v>149</v>
      </c>
      <c r="F334" s="1" t="s">
        <v>152</v>
      </c>
      <c r="G334" s="4" t="s">
        <v>2096</v>
      </c>
      <c r="H334" s="1" t="s">
        <v>48</v>
      </c>
      <c r="I334" s="1" t="s">
        <v>1718</v>
      </c>
      <c r="J334" s="1">
        <v>21.0</v>
      </c>
      <c r="K334" s="1">
        <v>10.0</v>
      </c>
      <c r="L334" s="1">
        <v>2017.0</v>
      </c>
      <c r="M334" s="1">
        <v>9.0</v>
      </c>
      <c r="N334" s="1">
        <v>7.0</v>
      </c>
      <c r="O334" s="1">
        <v>2023.0</v>
      </c>
      <c r="P334" s="1" t="s">
        <v>105</v>
      </c>
      <c r="Q334" s="4" t="s">
        <v>51</v>
      </c>
      <c r="R334" s="1" t="s">
        <v>52</v>
      </c>
      <c r="S334" s="1" t="s">
        <v>106</v>
      </c>
      <c r="T334" s="4" t="s">
        <v>106</v>
      </c>
      <c r="U334" s="1">
        <v>2017.0</v>
      </c>
      <c r="V334" s="1"/>
      <c r="W334" s="1"/>
      <c r="X334" s="4" t="s">
        <v>55</v>
      </c>
      <c r="Y334" s="4" t="s">
        <v>99</v>
      </c>
      <c r="Z334" s="4" t="s">
        <v>101</v>
      </c>
      <c r="AA334" s="4" t="s">
        <v>1641</v>
      </c>
      <c r="AB334" s="4" t="s">
        <v>1641</v>
      </c>
      <c r="AC334" s="1" t="s">
        <v>1781</v>
      </c>
      <c r="AD334" s="1" t="s">
        <v>2090</v>
      </c>
      <c r="AE334" s="1" t="s">
        <v>60</v>
      </c>
      <c r="AF334" s="1" t="s">
        <v>1687</v>
      </c>
      <c r="AG334" s="4" t="s">
        <v>62</v>
      </c>
      <c r="AH334" s="1">
        <v>8.0</v>
      </c>
      <c r="AI334" s="1">
        <v>7.0</v>
      </c>
      <c r="AJ334" s="1">
        <v>7.0</v>
      </c>
      <c r="AK334" s="1">
        <f t="shared" si="1"/>
        <v>22</v>
      </c>
      <c r="AL334" s="1">
        <v>1.0</v>
      </c>
      <c r="AM334" s="1">
        <v>286.0</v>
      </c>
      <c r="AN334" s="1">
        <f t="shared" si="5"/>
        <v>286</v>
      </c>
      <c r="AO334" s="1">
        <f t="shared" si="6"/>
        <v>1.103496503</v>
      </c>
      <c r="AP334" s="4" t="s">
        <v>1146</v>
      </c>
    </row>
    <row r="335" ht="12.75" customHeight="1">
      <c r="A335" s="1" t="s">
        <v>1381</v>
      </c>
      <c r="B335" s="1" t="s">
        <v>1382</v>
      </c>
      <c r="C335" s="4" t="s">
        <v>44</v>
      </c>
      <c r="D335" s="1" t="s">
        <v>45</v>
      </c>
      <c r="E335" s="1" t="s">
        <v>46</v>
      </c>
      <c r="F335" s="1" t="s">
        <v>47</v>
      </c>
      <c r="G335" s="1" t="s">
        <v>1382</v>
      </c>
      <c r="H335" s="1" t="s">
        <v>65</v>
      </c>
      <c r="I335" s="1" t="s">
        <v>1810</v>
      </c>
      <c r="J335" s="1">
        <v>21.0</v>
      </c>
      <c r="K335" s="1">
        <v>20.0</v>
      </c>
      <c r="L335" s="1">
        <v>2023.0</v>
      </c>
      <c r="M335" s="1">
        <v>27.0</v>
      </c>
      <c r="N335" s="1">
        <v>7.0</v>
      </c>
      <c r="O335" s="1">
        <v>2023.0</v>
      </c>
      <c r="P335" s="1" t="s">
        <v>105</v>
      </c>
      <c r="Q335" s="4" t="s">
        <v>51</v>
      </c>
      <c r="R335" s="1" t="s">
        <v>52</v>
      </c>
      <c r="S335" s="1" t="s">
        <v>270</v>
      </c>
      <c r="T335" s="4" t="s">
        <v>1710</v>
      </c>
      <c r="U335" s="1">
        <v>2023.0</v>
      </c>
      <c r="V335" s="1"/>
      <c r="W335" s="1"/>
      <c r="X335" s="4" t="s">
        <v>55</v>
      </c>
      <c r="Y335" s="4" t="s">
        <v>45</v>
      </c>
      <c r="Z335" s="1" t="s">
        <v>47</v>
      </c>
      <c r="AA335" s="1" t="s">
        <v>2097</v>
      </c>
      <c r="AB335" s="1" t="s">
        <v>2098</v>
      </c>
      <c r="AC335" s="1" t="s">
        <v>1781</v>
      </c>
      <c r="AD335" s="1" t="s">
        <v>2099</v>
      </c>
      <c r="AE335" s="1" t="s">
        <v>60</v>
      </c>
      <c r="AF335" s="1" t="s">
        <v>1687</v>
      </c>
      <c r="AG335" s="4" t="s">
        <v>62</v>
      </c>
      <c r="AH335" s="1">
        <v>7.0</v>
      </c>
      <c r="AI335" s="1">
        <v>6.0</v>
      </c>
      <c r="AJ335" s="1">
        <v>6.0</v>
      </c>
      <c r="AK335" s="1">
        <f t="shared" si="1"/>
        <v>19</v>
      </c>
      <c r="AL335" s="1">
        <v>1.0</v>
      </c>
      <c r="AM335" s="1">
        <v>366.0</v>
      </c>
      <c r="AN335" s="1">
        <f t="shared" si="5"/>
        <v>366</v>
      </c>
      <c r="AO335" s="1">
        <f t="shared" si="6"/>
        <v>0.9527322404</v>
      </c>
      <c r="AP335" s="4" t="s">
        <v>1383</v>
      </c>
    </row>
    <row r="336" ht="12.75" customHeight="1">
      <c r="A336" s="1" t="s">
        <v>1387</v>
      </c>
      <c r="B336" s="1" t="s">
        <v>1388</v>
      </c>
      <c r="C336" s="4" t="s">
        <v>44</v>
      </c>
      <c r="D336" s="1" t="s">
        <v>45</v>
      </c>
      <c r="E336" s="4" t="s">
        <v>124</v>
      </c>
      <c r="F336" s="1" t="s">
        <v>126</v>
      </c>
      <c r="G336" s="1"/>
      <c r="H336" s="1" t="s">
        <v>65</v>
      </c>
      <c r="I336" s="1" t="s">
        <v>1684</v>
      </c>
      <c r="J336" s="1">
        <v>20.0</v>
      </c>
      <c r="K336" s="1">
        <v>50.0</v>
      </c>
      <c r="L336" s="1">
        <v>1955.0</v>
      </c>
      <c r="M336" s="1">
        <v>22.0</v>
      </c>
      <c r="N336" s="1">
        <v>8.0</v>
      </c>
      <c r="O336" s="1">
        <v>2023.0</v>
      </c>
      <c r="P336" s="1" t="s">
        <v>105</v>
      </c>
      <c r="Q336" s="4" t="s">
        <v>51</v>
      </c>
      <c r="R336" s="1" t="s">
        <v>52</v>
      </c>
      <c r="S336" s="1" t="s">
        <v>106</v>
      </c>
      <c r="T336" s="4" t="s">
        <v>1811</v>
      </c>
      <c r="U336" s="1">
        <v>1925.0</v>
      </c>
      <c r="V336" s="1"/>
      <c r="W336" s="1"/>
      <c r="X336" s="4" t="s">
        <v>55</v>
      </c>
      <c r="Y336" s="4" t="s">
        <v>45</v>
      </c>
      <c r="Z336" s="1" t="s">
        <v>126</v>
      </c>
      <c r="AA336" s="1" t="s">
        <v>739</v>
      </c>
      <c r="AB336" s="1" t="s">
        <v>739</v>
      </c>
      <c r="AC336" s="1" t="s">
        <v>1781</v>
      </c>
      <c r="AD336" s="1" t="s">
        <v>1873</v>
      </c>
      <c r="AE336" s="1" t="s">
        <v>60</v>
      </c>
      <c r="AF336" s="1" t="s">
        <v>1687</v>
      </c>
      <c r="AG336" s="4" t="s">
        <v>62</v>
      </c>
      <c r="AH336" s="1">
        <v>8.0</v>
      </c>
      <c r="AI336" s="1">
        <v>8.0</v>
      </c>
      <c r="AJ336" s="1">
        <v>8.0</v>
      </c>
      <c r="AK336" s="1">
        <f t="shared" si="1"/>
        <v>24</v>
      </c>
      <c r="AL336" s="1">
        <v>1.0</v>
      </c>
      <c r="AM336" s="1">
        <v>347.0</v>
      </c>
      <c r="AN336" s="1">
        <f t="shared" si="5"/>
        <v>347</v>
      </c>
      <c r="AO336" s="1">
        <f t="shared" si="6"/>
        <v>1.202881844</v>
      </c>
      <c r="AP336" s="4" t="s">
        <v>1389</v>
      </c>
    </row>
    <row r="337" ht="12.75" customHeight="1">
      <c r="A337" s="1" t="s">
        <v>1600</v>
      </c>
      <c r="B337" s="4" t="s">
        <v>1601</v>
      </c>
      <c r="C337" s="4" t="s">
        <v>44</v>
      </c>
      <c r="D337" s="1" t="s">
        <v>99</v>
      </c>
      <c r="E337" s="1" t="s">
        <v>180</v>
      </c>
      <c r="F337" s="1" t="s">
        <v>183</v>
      </c>
      <c r="G337" s="1"/>
      <c r="H337" s="1" t="s">
        <v>48</v>
      </c>
      <c r="I337" s="1" t="s">
        <v>2027</v>
      </c>
      <c r="J337" s="1">
        <v>21.0</v>
      </c>
      <c r="K337" s="1">
        <v>20.0</v>
      </c>
      <c r="L337" s="1">
        <v>2022.0</v>
      </c>
      <c r="M337" s="1">
        <v>2.0</v>
      </c>
      <c r="N337" s="1">
        <v>9.0</v>
      </c>
      <c r="O337" s="1">
        <v>2023.0</v>
      </c>
      <c r="P337" s="1" t="s">
        <v>105</v>
      </c>
      <c r="Q337" s="4" t="s">
        <v>51</v>
      </c>
      <c r="R337" s="1" t="s">
        <v>52</v>
      </c>
      <c r="S337" s="1" t="s">
        <v>106</v>
      </c>
      <c r="T337" s="4" t="s">
        <v>1710</v>
      </c>
      <c r="U337" s="1">
        <v>2022.0</v>
      </c>
      <c r="V337" s="1"/>
      <c r="W337" s="1"/>
      <c r="X337" s="4" t="s">
        <v>55</v>
      </c>
      <c r="Y337" s="4" t="s">
        <v>99</v>
      </c>
      <c r="Z337" s="1" t="s">
        <v>183</v>
      </c>
      <c r="AA337" s="1" t="s">
        <v>496</v>
      </c>
      <c r="AB337" s="1" t="s">
        <v>496</v>
      </c>
      <c r="AC337" s="1" t="s">
        <v>1781</v>
      </c>
      <c r="AD337" s="1" t="s">
        <v>2100</v>
      </c>
      <c r="AE337" s="1" t="s">
        <v>60</v>
      </c>
      <c r="AF337" s="1" t="s">
        <v>1687</v>
      </c>
      <c r="AG337" s="4" t="s">
        <v>62</v>
      </c>
      <c r="AH337" s="1">
        <v>8.0</v>
      </c>
      <c r="AI337" s="1">
        <v>9.0</v>
      </c>
      <c r="AJ337" s="1">
        <v>7.0</v>
      </c>
      <c r="AK337" s="1">
        <f t="shared" si="1"/>
        <v>24</v>
      </c>
      <c r="AL337" s="1">
        <v>1.0</v>
      </c>
      <c r="AM337" s="1">
        <v>267.0</v>
      </c>
      <c r="AN337" s="1">
        <f t="shared" si="5"/>
        <v>267</v>
      </c>
      <c r="AO337" s="1">
        <f t="shared" si="6"/>
        <v>1.203745318</v>
      </c>
      <c r="AP337" s="4" t="s">
        <v>1602</v>
      </c>
    </row>
    <row r="338" ht="12.75" customHeight="1">
      <c r="A338" s="1" t="s">
        <v>1521</v>
      </c>
      <c r="B338" s="1" t="s">
        <v>1522</v>
      </c>
      <c r="C338" s="4" t="s">
        <v>44</v>
      </c>
      <c r="D338" s="1" t="s">
        <v>45</v>
      </c>
      <c r="E338" s="4" t="s">
        <v>124</v>
      </c>
      <c r="F338" s="1" t="s">
        <v>126</v>
      </c>
      <c r="G338" s="1"/>
      <c r="H338" s="1" t="s">
        <v>48</v>
      </c>
      <c r="I338" s="1" t="s">
        <v>2101</v>
      </c>
      <c r="J338" s="1">
        <v>21.0</v>
      </c>
      <c r="K338" s="1">
        <v>20.0</v>
      </c>
      <c r="L338" s="1">
        <v>2022.0</v>
      </c>
      <c r="M338" s="1">
        <v>23.0</v>
      </c>
      <c r="N338" s="1">
        <v>9.0</v>
      </c>
      <c r="O338" s="1">
        <v>2023.0</v>
      </c>
      <c r="P338" s="1" t="s">
        <v>105</v>
      </c>
      <c r="Q338" s="4" t="s">
        <v>51</v>
      </c>
      <c r="R338" s="1" t="s">
        <v>52</v>
      </c>
      <c r="S338" s="1" t="s">
        <v>268</v>
      </c>
      <c r="T338" s="4" t="s">
        <v>526</v>
      </c>
      <c r="U338" s="1">
        <v>1970.0</v>
      </c>
      <c r="V338" s="1"/>
      <c r="W338" s="1"/>
      <c r="X338" s="4" t="s">
        <v>55</v>
      </c>
      <c r="Y338" s="4" t="s">
        <v>45</v>
      </c>
      <c r="Z338" s="1" t="s">
        <v>126</v>
      </c>
      <c r="AA338" s="1" t="s">
        <v>2013</v>
      </c>
      <c r="AB338" s="1" t="s">
        <v>1522</v>
      </c>
      <c r="AC338" s="1" t="s">
        <v>19</v>
      </c>
      <c r="AD338" s="1" t="s">
        <v>1816</v>
      </c>
      <c r="AE338" s="1" t="s">
        <v>60</v>
      </c>
      <c r="AF338" s="1" t="s">
        <v>1687</v>
      </c>
      <c r="AG338" s="4" t="s">
        <v>62</v>
      </c>
      <c r="AH338" s="1">
        <v>9.0</v>
      </c>
      <c r="AI338" s="1">
        <v>9.0</v>
      </c>
      <c r="AJ338" s="1">
        <v>8.0</v>
      </c>
      <c r="AK338" s="1">
        <f t="shared" si="1"/>
        <v>26</v>
      </c>
      <c r="AL338" s="1">
        <v>1.0</v>
      </c>
      <c r="AM338" s="1">
        <v>317.0</v>
      </c>
      <c r="AN338" s="1">
        <f t="shared" si="5"/>
        <v>317</v>
      </c>
      <c r="AO338" s="1">
        <f t="shared" si="6"/>
        <v>1.303154574</v>
      </c>
      <c r="AP338" s="4" t="s">
        <v>1523</v>
      </c>
    </row>
    <row r="339" ht="12.75" customHeight="1">
      <c r="A339" s="1" t="s">
        <v>770</v>
      </c>
      <c r="B339" s="1" t="s">
        <v>771</v>
      </c>
      <c r="C339" s="4" t="s">
        <v>44</v>
      </c>
      <c r="D339" s="1" t="s">
        <v>45</v>
      </c>
      <c r="E339" s="4" t="s">
        <v>124</v>
      </c>
      <c r="F339" s="1" t="s">
        <v>126</v>
      </c>
      <c r="G339" s="1"/>
      <c r="H339" s="1" t="s">
        <v>48</v>
      </c>
      <c r="I339" s="1" t="s">
        <v>1789</v>
      </c>
      <c r="J339" s="1">
        <v>21.0</v>
      </c>
      <c r="K339" s="1">
        <v>20.0</v>
      </c>
      <c r="L339" s="1">
        <v>2023.0</v>
      </c>
      <c r="M339" s="1">
        <v>16.0</v>
      </c>
      <c r="N339" s="1">
        <v>10.0</v>
      </c>
      <c r="O339" s="1">
        <v>2023.0</v>
      </c>
      <c r="P339" s="1" t="s">
        <v>105</v>
      </c>
      <c r="Q339" s="4" t="s">
        <v>51</v>
      </c>
      <c r="R339" s="1" t="s">
        <v>52</v>
      </c>
      <c r="S339" s="1" t="s">
        <v>301</v>
      </c>
      <c r="T339" s="4" t="s">
        <v>2102</v>
      </c>
      <c r="U339" s="4">
        <v>1933.0</v>
      </c>
      <c r="V339" s="4">
        <v>5.0</v>
      </c>
      <c r="W339" s="4">
        <v>10.0</v>
      </c>
      <c r="X339" s="4" t="s">
        <v>55</v>
      </c>
      <c r="Y339" s="4" t="s">
        <v>99</v>
      </c>
      <c r="Z339" s="4" t="s">
        <v>181</v>
      </c>
      <c r="AA339" s="4" t="s">
        <v>1893</v>
      </c>
      <c r="AB339" s="4" t="s">
        <v>1894</v>
      </c>
      <c r="AC339" s="1" t="s">
        <v>69</v>
      </c>
      <c r="AD339" s="1" t="s">
        <v>244</v>
      </c>
      <c r="AE339" s="1" t="s">
        <v>60</v>
      </c>
      <c r="AF339" s="1" t="s">
        <v>1687</v>
      </c>
      <c r="AG339" s="4" t="s">
        <v>62</v>
      </c>
      <c r="AH339" s="1">
        <v>7.0</v>
      </c>
      <c r="AI339" s="1">
        <v>6.0</v>
      </c>
      <c r="AJ339" s="1">
        <v>7.0</v>
      </c>
      <c r="AK339" s="1">
        <f t="shared" si="1"/>
        <v>20</v>
      </c>
      <c r="AL339" s="1">
        <v>1.0</v>
      </c>
      <c r="AM339" s="1">
        <v>366.0</v>
      </c>
      <c r="AN339" s="1">
        <f t="shared" si="5"/>
        <v>366</v>
      </c>
      <c r="AO339" s="1">
        <f t="shared" si="6"/>
        <v>1.00273224</v>
      </c>
      <c r="AP339" s="4" t="s">
        <v>772</v>
      </c>
    </row>
    <row r="340" ht="12.75" customHeight="1">
      <c r="A340" s="1" t="s">
        <v>835</v>
      </c>
      <c r="B340" s="1" t="s">
        <v>836</v>
      </c>
      <c r="C340" s="4" t="s">
        <v>44</v>
      </c>
      <c r="D340" s="1" t="s">
        <v>45</v>
      </c>
      <c r="E340" s="1" t="s">
        <v>144</v>
      </c>
      <c r="F340" s="1" t="s">
        <v>146</v>
      </c>
      <c r="G340" s="1"/>
      <c r="H340" s="1" t="s">
        <v>65</v>
      </c>
      <c r="I340" s="1" t="s">
        <v>2103</v>
      </c>
      <c r="J340" s="1">
        <v>20.0</v>
      </c>
      <c r="K340" s="1">
        <v>90.0</v>
      </c>
      <c r="L340" s="1">
        <v>1996.0</v>
      </c>
      <c r="M340" s="1">
        <v>24.0</v>
      </c>
      <c r="N340" s="1">
        <v>10.0</v>
      </c>
      <c r="O340" s="1">
        <v>2023.0</v>
      </c>
      <c r="P340" s="1" t="s">
        <v>105</v>
      </c>
      <c r="Q340" s="4" t="s">
        <v>51</v>
      </c>
      <c r="R340" s="1" t="s">
        <v>52</v>
      </c>
      <c r="S340" s="1" t="s">
        <v>237</v>
      </c>
      <c r="T340" s="4" t="s">
        <v>106</v>
      </c>
      <c r="U340" s="1">
        <v>1996.0</v>
      </c>
      <c r="V340" s="1"/>
      <c r="W340" s="1"/>
      <c r="X340" s="4" t="s">
        <v>55</v>
      </c>
      <c r="Y340" s="4" t="s">
        <v>45</v>
      </c>
      <c r="Z340" s="1" t="s">
        <v>146</v>
      </c>
      <c r="AA340" s="1" t="s">
        <v>2104</v>
      </c>
      <c r="AB340" s="1" t="s">
        <v>2105</v>
      </c>
      <c r="AC340" s="1" t="s">
        <v>422</v>
      </c>
      <c r="AD340" s="1" t="s">
        <v>2106</v>
      </c>
      <c r="AE340" s="1" t="s">
        <v>60</v>
      </c>
      <c r="AF340" s="1" t="s">
        <v>1687</v>
      </c>
      <c r="AG340" s="4" t="s">
        <v>62</v>
      </c>
      <c r="AH340" s="1">
        <v>8.0</v>
      </c>
      <c r="AI340" s="1">
        <v>8.0</v>
      </c>
      <c r="AJ340" s="1">
        <v>8.0</v>
      </c>
      <c r="AK340" s="1">
        <f t="shared" si="1"/>
        <v>24</v>
      </c>
      <c r="AL340" s="1">
        <v>1.0</v>
      </c>
      <c r="AM340" s="1">
        <v>219.0</v>
      </c>
      <c r="AN340" s="1">
        <f t="shared" si="5"/>
        <v>219</v>
      </c>
      <c r="AO340" s="1">
        <f t="shared" si="6"/>
        <v>1.20456621</v>
      </c>
      <c r="AP340" s="4" t="s">
        <v>837</v>
      </c>
    </row>
    <row r="341" ht="12.75" customHeight="1">
      <c r="A341" s="1" t="s">
        <v>1514</v>
      </c>
      <c r="B341" s="1" t="s">
        <v>1515</v>
      </c>
      <c r="C341" s="4" t="s">
        <v>44</v>
      </c>
      <c r="D341" s="1" t="s">
        <v>45</v>
      </c>
      <c r="E341" s="4" t="s">
        <v>124</v>
      </c>
      <c r="F341" s="1" t="s">
        <v>126</v>
      </c>
      <c r="G341" s="1"/>
      <c r="H341" s="1" t="s">
        <v>48</v>
      </c>
      <c r="I341" s="1" t="s">
        <v>2073</v>
      </c>
      <c r="J341" s="1">
        <v>21.0</v>
      </c>
      <c r="K341" s="1">
        <v>20.0</v>
      </c>
      <c r="L341" s="1">
        <v>2023.0</v>
      </c>
      <c r="M341" s="1">
        <v>20.0</v>
      </c>
      <c r="N341" s="1">
        <v>11.0</v>
      </c>
      <c r="O341" s="1">
        <v>2023.0</v>
      </c>
      <c r="P341" s="1" t="s">
        <v>105</v>
      </c>
      <c r="Q341" s="4" t="s">
        <v>51</v>
      </c>
      <c r="R341" s="1" t="s">
        <v>52</v>
      </c>
      <c r="S341" s="1" t="s">
        <v>300</v>
      </c>
      <c r="T341" s="4" t="s">
        <v>1710</v>
      </c>
      <c r="U341" s="1">
        <v>2023.0</v>
      </c>
      <c r="V341" s="1"/>
      <c r="W341" s="1"/>
      <c r="X341" s="4" t="s">
        <v>55</v>
      </c>
      <c r="Y341" s="4" t="s">
        <v>45</v>
      </c>
      <c r="Z341" s="1" t="s">
        <v>126</v>
      </c>
      <c r="AA341" s="1" t="s">
        <v>126</v>
      </c>
      <c r="AB341" s="1" t="s">
        <v>126</v>
      </c>
      <c r="AC341" s="1" t="s">
        <v>465</v>
      </c>
      <c r="AD341" s="1" t="s">
        <v>1873</v>
      </c>
      <c r="AE341" s="1" t="s">
        <v>60</v>
      </c>
      <c r="AF341" s="1" t="s">
        <v>1687</v>
      </c>
      <c r="AG341" s="4" t="s">
        <v>62</v>
      </c>
      <c r="AH341" s="1">
        <v>7.0</v>
      </c>
      <c r="AI341" s="1">
        <v>7.0</v>
      </c>
      <c r="AJ341" s="1">
        <v>6.0</v>
      </c>
      <c r="AK341" s="1">
        <f t="shared" si="1"/>
        <v>20</v>
      </c>
      <c r="AL341" s="1">
        <v>1.0</v>
      </c>
      <c r="AM341" s="1">
        <v>351.0</v>
      </c>
      <c r="AN341" s="1">
        <f t="shared" si="5"/>
        <v>351</v>
      </c>
      <c r="AO341" s="1">
        <f t="shared" si="6"/>
        <v>1.002849003</v>
      </c>
      <c r="AP341" s="1"/>
    </row>
    <row r="342" ht="12.75" customHeight="1">
      <c r="A342" s="1" t="s">
        <v>1490</v>
      </c>
      <c r="B342" s="1" t="s">
        <v>1491</v>
      </c>
      <c r="C342" s="4" t="s">
        <v>44</v>
      </c>
      <c r="D342" s="1" t="s">
        <v>45</v>
      </c>
      <c r="E342" s="1" t="s">
        <v>46</v>
      </c>
      <c r="F342" s="1" t="s">
        <v>47</v>
      </c>
      <c r="G342" s="1" t="s">
        <v>1491</v>
      </c>
      <c r="H342" s="1" t="s">
        <v>48</v>
      </c>
      <c r="I342" s="1" t="s">
        <v>1997</v>
      </c>
      <c r="J342" s="1">
        <v>21.0</v>
      </c>
      <c r="K342" s="1">
        <v>20.0</v>
      </c>
      <c r="L342" s="1">
        <v>2023.0</v>
      </c>
      <c r="M342" s="1">
        <v>13.0</v>
      </c>
      <c r="N342" s="1">
        <v>12.0</v>
      </c>
      <c r="O342" s="1">
        <v>2023.0</v>
      </c>
      <c r="P342" s="1" t="s">
        <v>105</v>
      </c>
      <c r="Q342" s="4" t="s">
        <v>51</v>
      </c>
      <c r="R342" s="1" t="s">
        <v>52</v>
      </c>
      <c r="S342" s="1" t="s">
        <v>298</v>
      </c>
      <c r="T342" s="4" t="s">
        <v>1710</v>
      </c>
      <c r="U342" s="1">
        <v>2023.0</v>
      </c>
      <c r="V342" s="1"/>
      <c r="W342" s="1"/>
      <c r="X342" s="4" t="s">
        <v>55</v>
      </c>
      <c r="Y342" s="4" t="s">
        <v>45</v>
      </c>
      <c r="Z342" s="1" t="s">
        <v>47</v>
      </c>
      <c r="AA342" s="1" t="s">
        <v>411</v>
      </c>
      <c r="AB342" s="1" t="s">
        <v>2107</v>
      </c>
      <c r="AC342" s="1" t="s">
        <v>465</v>
      </c>
      <c r="AD342" s="1" t="s">
        <v>2003</v>
      </c>
      <c r="AE342" s="1" t="s">
        <v>2108</v>
      </c>
      <c r="AF342" s="1" t="s">
        <v>1687</v>
      </c>
      <c r="AG342" s="4" t="s">
        <v>62</v>
      </c>
      <c r="AH342" s="1">
        <v>8.0</v>
      </c>
      <c r="AI342" s="1">
        <v>8.0</v>
      </c>
      <c r="AJ342" s="1">
        <v>8.0</v>
      </c>
      <c r="AK342" s="1">
        <f t="shared" si="1"/>
        <v>24</v>
      </c>
      <c r="AL342" s="1">
        <v>1.0</v>
      </c>
      <c r="AM342" s="1">
        <v>205.0</v>
      </c>
      <c r="AN342" s="1">
        <f t="shared" si="5"/>
        <v>205</v>
      </c>
      <c r="AO342" s="1">
        <f t="shared" si="6"/>
        <v>1.204878049</v>
      </c>
      <c r="AP342" s="4" t="s">
        <v>1492</v>
      </c>
    </row>
    <row r="343" ht="12.75" customHeight="1">
      <c r="A343" s="1" t="s">
        <v>1349</v>
      </c>
      <c r="B343" s="1" t="s">
        <v>1350</v>
      </c>
      <c r="C343" s="4" t="s">
        <v>44</v>
      </c>
      <c r="D343" s="1" t="s">
        <v>148</v>
      </c>
      <c r="E343" s="1" t="s">
        <v>153</v>
      </c>
      <c r="F343" s="1" t="s">
        <v>159</v>
      </c>
      <c r="G343" s="4" t="s">
        <v>2109</v>
      </c>
      <c r="H343" s="1" t="s">
        <v>48</v>
      </c>
      <c r="I343" s="1" t="s">
        <v>1863</v>
      </c>
      <c r="J343" s="1">
        <v>21.0</v>
      </c>
      <c r="K343" s="1">
        <v>20.0</v>
      </c>
      <c r="L343" s="1">
        <v>2020.0</v>
      </c>
      <c r="M343" s="1">
        <v>27.0</v>
      </c>
      <c r="N343" s="1">
        <v>12.0</v>
      </c>
      <c r="O343" s="1">
        <v>2023.0</v>
      </c>
      <c r="P343" s="1" t="s">
        <v>105</v>
      </c>
      <c r="Q343" s="4" t="s">
        <v>51</v>
      </c>
      <c r="R343" s="1" t="s">
        <v>52</v>
      </c>
      <c r="S343" s="1" t="s">
        <v>106</v>
      </c>
      <c r="T343" s="4" t="s">
        <v>2110</v>
      </c>
      <c r="U343" s="4">
        <v>1945.0</v>
      </c>
      <c r="V343" s="1"/>
      <c r="W343" s="1"/>
      <c r="X343" s="4" t="s">
        <v>55</v>
      </c>
      <c r="Y343" s="4" t="s">
        <v>148</v>
      </c>
      <c r="Z343" s="1" t="s">
        <v>159</v>
      </c>
      <c r="AA343" s="1" t="s">
        <v>2111</v>
      </c>
      <c r="AB343" s="1" t="s">
        <v>2111</v>
      </c>
      <c r="AC343" s="1" t="s">
        <v>1781</v>
      </c>
      <c r="AD343" s="1" t="s">
        <v>2112</v>
      </c>
      <c r="AE343" s="1" t="s">
        <v>60</v>
      </c>
      <c r="AF343" s="1" t="s">
        <v>1687</v>
      </c>
      <c r="AG343" s="4" t="s">
        <v>62</v>
      </c>
      <c r="AH343" s="1">
        <v>8.0</v>
      </c>
      <c r="AI343" s="1">
        <v>9.0</v>
      </c>
      <c r="AJ343" s="1">
        <v>8.0</v>
      </c>
      <c r="AK343" s="1">
        <f t="shared" si="1"/>
        <v>25</v>
      </c>
      <c r="AL343" s="1">
        <v>1.0</v>
      </c>
      <c r="AM343" s="1">
        <v>335.0</v>
      </c>
      <c r="AN343" s="1">
        <f t="shared" si="5"/>
        <v>335</v>
      </c>
      <c r="AO343" s="1">
        <f t="shared" si="6"/>
        <v>1.252985075</v>
      </c>
      <c r="AP343" s="4" t="s">
        <v>1351</v>
      </c>
    </row>
    <row r="344" ht="12.75" customHeight="1">
      <c r="A344" s="1" t="s">
        <v>1581</v>
      </c>
      <c r="B344" s="4" t="s">
        <v>1591</v>
      </c>
      <c r="C344" s="4" t="s">
        <v>44</v>
      </c>
      <c r="D344" s="1" t="s">
        <v>45</v>
      </c>
      <c r="E344" s="1" t="s">
        <v>46</v>
      </c>
      <c r="F344" s="1" t="s">
        <v>47</v>
      </c>
      <c r="G344" s="4" t="s">
        <v>1591</v>
      </c>
      <c r="H344" s="4" t="s">
        <v>2113</v>
      </c>
      <c r="I344" s="1" t="s">
        <v>1863</v>
      </c>
      <c r="J344" s="1">
        <v>21.0</v>
      </c>
      <c r="K344" s="4">
        <v>20.0</v>
      </c>
      <c r="L344" s="4">
        <v>2023.0</v>
      </c>
      <c r="M344" s="4"/>
      <c r="N344" s="4"/>
      <c r="O344" s="4">
        <v>2023.0</v>
      </c>
      <c r="P344" s="1" t="s">
        <v>105</v>
      </c>
      <c r="Q344" s="4" t="s">
        <v>51</v>
      </c>
      <c r="R344" s="1" t="s">
        <v>266</v>
      </c>
      <c r="S344" s="4" t="s">
        <v>247</v>
      </c>
      <c r="T344" s="4" t="s">
        <v>1710</v>
      </c>
      <c r="U344" s="4">
        <v>2023.0</v>
      </c>
      <c r="V344" s="1"/>
      <c r="W344" s="1"/>
      <c r="X344" s="4" t="s">
        <v>139</v>
      </c>
      <c r="Y344" s="1" t="s">
        <v>139</v>
      </c>
      <c r="Z344" s="1" t="s">
        <v>139</v>
      </c>
      <c r="AA344" s="1" t="s">
        <v>139</v>
      </c>
      <c r="AB344" s="1" t="s">
        <v>139</v>
      </c>
      <c r="AC344" s="4" t="s">
        <v>1781</v>
      </c>
      <c r="AD344" s="4" t="s">
        <v>2000</v>
      </c>
      <c r="AE344" s="1" t="s">
        <v>60</v>
      </c>
      <c r="AF344" s="1" t="s">
        <v>1687</v>
      </c>
      <c r="AG344" s="4" t="s">
        <v>62</v>
      </c>
      <c r="AH344" s="4">
        <v>7.0</v>
      </c>
      <c r="AI344" s="4">
        <v>8.0</v>
      </c>
      <c r="AJ344" s="4">
        <v>7.0</v>
      </c>
      <c r="AK344" s="1">
        <f t="shared" si="1"/>
        <v>22</v>
      </c>
      <c r="AL344" s="1">
        <v>1.0</v>
      </c>
      <c r="AM344" s="4">
        <v>141.0</v>
      </c>
      <c r="AN344" s="1">
        <f t="shared" si="5"/>
        <v>141</v>
      </c>
      <c r="AO344" s="1">
        <f t="shared" si="6"/>
        <v>1.107092199</v>
      </c>
      <c r="AP344" s="1"/>
    </row>
    <row r="345" ht="12.75" customHeight="1">
      <c r="A345" s="1" t="s">
        <v>997</v>
      </c>
      <c r="B345" s="1" t="s">
        <v>998</v>
      </c>
      <c r="C345" s="4" t="s">
        <v>44</v>
      </c>
      <c r="D345" s="1" t="s">
        <v>45</v>
      </c>
      <c r="E345" s="4" t="s">
        <v>124</v>
      </c>
      <c r="F345" s="1" t="s">
        <v>126</v>
      </c>
      <c r="G345" s="1"/>
      <c r="H345" s="1" t="s">
        <v>65</v>
      </c>
      <c r="I345" s="1" t="s">
        <v>1863</v>
      </c>
      <c r="J345" s="1">
        <v>19.0</v>
      </c>
      <c r="K345" s="1">
        <v>90.0</v>
      </c>
      <c r="L345" s="1">
        <v>1898.0</v>
      </c>
      <c r="M345" s="1">
        <v>3.0</v>
      </c>
      <c r="N345" s="1">
        <v>1.0</v>
      </c>
      <c r="O345" s="1">
        <v>2024.0</v>
      </c>
      <c r="P345" s="1" t="s">
        <v>105</v>
      </c>
      <c r="Q345" s="4" t="s">
        <v>51</v>
      </c>
      <c r="R345" s="1" t="s">
        <v>52</v>
      </c>
      <c r="S345" s="1" t="s">
        <v>296</v>
      </c>
      <c r="T345" s="1" t="s">
        <v>1640</v>
      </c>
      <c r="U345" s="1">
        <v>1898.0</v>
      </c>
      <c r="V345" s="1"/>
      <c r="W345" s="1"/>
      <c r="X345" s="4" t="s">
        <v>55</v>
      </c>
      <c r="Y345" s="4" t="s">
        <v>99</v>
      </c>
      <c r="Z345" s="4" t="s">
        <v>101</v>
      </c>
      <c r="AA345" s="4" t="s">
        <v>101</v>
      </c>
      <c r="AB345" s="1" t="s">
        <v>2114</v>
      </c>
      <c r="AC345" s="1" t="s">
        <v>422</v>
      </c>
      <c r="AD345" s="1" t="s">
        <v>2115</v>
      </c>
      <c r="AE345" s="1" t="s">
        <v>423</v>
      </c>
      <c r="AF345" s="1" t="s">
        <v>1687</v>
      </c>
      <c r="AG345" s="4" t="s">
        <v>62</v>
      </c>
      <c r="AH345" s="1">
        <v>8.0</v>
      </c>
      <c r="AI345" s="1">
        <v>7.0</v>
      </c>
      <c r="AJ345" s="1">
        <v>7.0</v>
      </c>
      <c r="AK345" s="1">
        <f t="shared" si="1"/>
        <v>22</v>
      </c>
      <c r="AL345" s="1">
        <v>1.0</v>
      </c>
      <c r="AM345" s="1">
        <v>157.0</v>
      </c>
      <c r="AN345" s="1">
        <f t="shared" si="5"/>
        <v>157</v>
      </c>
      <c r="AO345" s="1">
        <f t="shared" si="6"/>
        <v>1.106369427</v>
      </c>
      <c r="AP345" s="4" t="s">
        <v>999</v>
      </c>
    </row>
    <row r="346" ht="12.75" customHeight="1">
      <c r="A346" s="1" t="s">
        <v>766</v>
      </c>
      <c r="B346" s="1" t="s">
        <v>768</v>
      </c>
      <c r="C346" s="4" t="s">
        <v>44</v>
      </c>
      <c r="D346" s="1" t="s">
        <v>45</v>
      </c>
      <c r="E346" s="4" t="s">
        <v>124</v>
      </c>
      <c r="F346" s="1" t="s">
        <v>126</v>
      </c>
      <c r="G346" s="1"/>
      <c r="H346" s="1" t="s">
        <v>65</v>
      </c>
      <c r="I346" s="1" t="s">
        <v>1863</v>
      </c>
      <c r="J346" s="1">
        <v>21.0</v>
      </c>
      <c r="K346" s="1">
        <v>20.0</v>
      </c>
      <c r="L346" s="1">
        <v>2023.0</v>
      </c>
      <c r="M346" s="1">
        <v>17.0</v>
      </c>
      <c r="N346" s="1">
        <v>1.0</v>
      </c>
      <c r="O346" s="1">
        <v>2024.0</v>
      </c>
      <c r="P346" s="1" t="s">
        <v>105</v>
      </c>
      <c r="Q346" s="4" t="s">
        <v>51</v>
      </c>
      <c r="R346" s="1" t="s">
        <v>52</v>
      </c>
      <c r="S346" s="1" t="s">
        <v>270</v>
      </c>
      <c r="T346" s="4" t="s">
        <v>1710</v>
      </c>
      <c r="U346" s="1">
        <v>2023.0</v>
      </c>
      <c r="V346" s="1"/>
      <c r="W346" s="1"/>
      <c r="X346" s="4" t="s">
        <v>55</v>
      </c>
      <c r="Y346" s="4" t="s">
        <v>45</v>
      </c>
      <c r="Z346" s="1" t="s">
        <v>126</v>
      </c>
      <c r="AA346" s="1" t="s">
        <v>2116</v>
      </c>
      <c r="AB346" s="1" t="s">
        <v>2116</v>
      </c>
      <c r="AC346" s="1" t="s">
        <v>261</v>
      </c>
      <c r="AD346" s="1" t="s">
        <v>1937</v>
      </c>
      <c r="AE346" s="1" t="s">
        <v>60</v>
      </c>
      <c r="AF346" s="1" t="s">
        <v>1687</v>
      </c>
      <c r="AG346" s="4" t="s">
        <v>62</v>
      </c>
      <c r="AH346" s="1">
        <v>7.0</v>
      </c>
      <c r="AI346" s="1">
        <v>7.0</v>
      </c>
      <c r="AJ346" s="1">
        <v>7.0</v>
      </c>
      <c r="AK346" s="1">
        <f t="shared" si="1"/>
        <v>21</v>
      </c>
      <c r="AL346" s="1">
        <v>1.0</v>
      </c>
      <c r="AM346" s="1">
        <v>351.0</v>
      </c>
      <c r="AN346" s="1">
        <f t="shared" si="5"/>
        <v>351</v>
      </c>
      <c r="AO346" s="1">
        <f t="shared" si="6"/>
        <v>1.052849003</v>
      </c>
      <c r="AP346" s="4" t="s">
        <v>769</v>
      </c>
    </row>
    <row r="347" ht="12.75" customHeight="1">
      <c r="A347" s="1" t="s">
        <v>1044</v>
      </c>
      <c r="B347" s="1" t="s">
        <v>1045</v>
      </c>
      <c r="C347" s="4" t="s">
        <v>44</v>
      </c>
      <c r="D347" s="1" t="s">
        <v>45</v>
      </c>
      <c r="E347" s="4" t="s">
        <v>124</v>
      </c>
      <c r="F347" s="1" t="s">
        <v>126</v>
      </c>
      <c r="G347" s="1"/>
      <c r="H347" s="1" t="s">
        <v>65</v>
      </c>
      <c r="I347" s="1" t="s">
        <v>2117</v>
      </c>
      <c r="J347" s="1">
        <v>21.0</v>
      </c>
      <c r="K347" s="1">
        <v>20.0</v>
      </c>
      <c r="L347" s="1">
        <v>2022.0</v>
      </c>
      <c r="M347" s="1">
        <v>2.0</v>
      </c>
      <c r="N347" s="1">
        <v>2.0</v>
      </c>
      <c r="O347" s="1">
        <v>2024.0</v>
      </c>
      <c r="P347" s="1" t="s">
        <v>105</v>
      </c>
      <c r="Q347" s="4" t="s">
        <v>51</v>
      </c>
      <c r="R347" s="1" t="s">
        <v>52</v>
      </c>
      <c r="S347" s="1" t="s">
        <v>301</v>
      </c>
      <c r="T347" s="4" t="s">
        <v>1805</v>
      </c>
      <c r="U347" s="1">
        <v>1960.0</v>
      </c>
      <c r="V347" s="1"/>
      <c r="W347" s="1"/>
      <c r="X347" s="4" t="s">
        <v>55</v>
      </c>
      <c r="Y347" s="4" t="s">
        <v>45</v>
      </c>
      <c r="Z347" s="1" t="s">
        <v>126</v>
      </c>
      <c r="AA347" s="1" t="s">
        <v>126</v>
      </c>
      <c r="AB347" s="1" t="s">
        <v>126</v>
      </c>
      <c r="AC347" s="1" t="s">
        <v>465</v>
      </c>
      <c r="AD347" s="1" t="s">
        <v>1726</v>
      </c>
      <c r="AE347" s="1" t="s">
        <v>2118</v>
      </c>
      <c r="AF347" s="1" t="s">
        <v>1687</v>
      </c>
      <c r="AG347" s="4" t="s">
        <v>62</v>
      </c>
      <c r="AH347" s="1">
        <v>7.0</v>
      </c>
      <c r="AI347" s="1">
        <v>8.0</v>
      </c>
      <c r="AJ347" s="1">
        <v>7.0</v>
      </c>
      <c r="AK347" s="1">
        <f t="shared" si="1"/>
        <v>22</v>
      </c>
      <c r="AL347" s="1">
        <v>1.0</v>
      </c>
      <c r="AM347" s="1">
        <v>255.0</v>
      </c>
      <c r="AN347" s="1">
        <f t="shared" si="5"/>
        <v>255</v>
      </c>
      <c r="AO347" s="1">
        <f t="shared" si="6"/>
        <v>1.103921569</v>
      </c>
      <c r="AP347" s="4" t="s">
        <v>1046</v>
      </c>
    </row>
    <row r="348" ht="12.75" customHeight="1">
      <c r="A348" s="1" t="s">
        <v>969</v>
      </c>
      <c r="B348" s="1" t="s">
        <v>970</v>
      </c>
      <c r="C348" s="4" t="s">
        <v>44</v>
      </c>
      <c r="D348" s="1" t="s">
        <v>99</v>
      </c>
      <c r="E348" s="1" t="s">
        <v>100</v>
      </c>
      <c r="F348" s="1" t="s">
        <v>101</v>
      </c>
      <c r="G348" s="1"/>
      <c r="H348" s="1" t="s">
        <v>48</v>
      </c>
      <c r="I348" s="1" t="s">
        <v>428</v>
      </c>
      <c r="J348" s="1">
        <v>21.0</v>
      </c>
      <c r="K348" s="1">
        <v>20.0</v>
      </c>
      <c r="L348" s="1">
        <v>2022.0</v>
      </c>
      <c r="M348" s="1">
        <v>25.0</v>
      </c>
      <c r="N348" s="1">
        <v>2.0</v>
      </c>
      <c r="O348" s="1">
        <v>2024.0</v>
      </c>
      <c r="P348" s="1" t="s">
        <v>105</v>
      </c>
      <c r="Q348" s="4" t="s">
        <v>51</v>
      </c>
      <c r="R348" s="1" t="s">
        <v>52</v>
      </c>
      <c r="S348" s="1" t="s">
        <v>270</v>
      </c>
      <c r="T348" s="4" t="s">
        <v>1710</v>
      </c>
      <c r="U348" s="1">
        <v>2022.0</v>
      </c>
      <c r="V348" s="1"/>
      <c r="W348" s="1"/>
      <c r="X348" s="4" t="s">
        <v>55</v>
      </c>
      <c r="Y348" s="4" t="s">
        <v>99</v>
      </c>
      <c r="Z348" s="4" t="s">
        <v>101</v>
      </c>
      <c r="AA348" s="1" t="s">
        <v>2119</v>
      </c>
      <c r="AB348" s="1" t="s">
        <v>2120</v>
      </c>
      <c r="AC348" s="1" t="s">
        <v>19</v>
      </c>
      <c r="AD348" s="1" t="s">
        <v>1889</v>
      </c>
      <c r="AE348" s="1" t="s">
        <v>2121</v>
      </c>
      <c r="AF348" s="1" t="s">
        <v>1687</v>
      </c>
      <c r="AG348" s="4" t="s">
        <v>62</v>
      </c>
      <c r="AH348" s="1">
        <v>8.0</v>
      </c>
      <c r="AI348" s="1">
        <v>7.0</v>
      </c>
      <c r="AJ348" s="1">
        <v>8.0</v>
      </c>
      <c r="AK348" s="1">
        <f t="shared" si="1"/>
        <v>23</v>
      </c>
      <c r="AL348" s="1">
        <v>1.0</v>
      </c>
      <c r="AM348" s="1">
        <v>394.0</v>
      </c>
      <c r="AN348" s="1">
        <f t="shared" si="5"/>
        <v>394</v>
      </c>
      <c r="AO348" s="1">
        <f t="shared" si="6"/>
        <v>1.152538071</v>
      </c>
      <c r="AP348" s="4" t="s">
        <v>971</v>
      </c>
    </row>
    <row r="349" ht="12.75" customHeight="1">
      <c r="A349" s="1" t="s">
        <v>1129</v>
      </c>
      <c r="B349" s="1" t="s">
        <v>1130</v>
      </c>
      <c r="C349" s="4" t="s">
        <v>44</v>
      </c>
      <c r="D349" s="1" t="s">
        <v>45</v>
      </c>
      <c r="E349" s="1" t="s">
        <v>46</v>
      </c>
      <c r="F349" s="1" t="s">
        <v>47</v>
      </c>
      <c r="G349" s="1" t="s">
        <v>1130</v>
      </c>
      <c r="H349" s="1" t="s">
        <v>48</v>
      </c>
      <c r="I349" s="1" t="s">
        <v>2122</v>
      </c>
      <c r="J349" s="1">
        <v>21.0</v>
      </c>
      <c r="K349" s="1">
        <v>20.0</v>
      </c>
      <c r="L349" s="1">
        <v>2022.0</v>
      </c>
      <c r="M349" s="1">
        <v>9.0</v>
      </c>
      <c r="N349" s="1">
        <v>3.0</v>
      </c>
      <c r="O349" s="1">
        <v>2024.0</v>
      </c>
      <c r="P349" s="1" t="s">
        <v>105</v>
      </c>
      <c r="Q349" s="4" t="s">
        <v>51</v>
      </c>
      <c r="R349" s="1" t="s">
        <v>52</v>
      </c>
      <c r="S349" s="1" t="s">
        <v>106</v>
      </c>
      <c r="T349" s="4" t="s">
        <v>1710</v>
      </c>
      <c r="U349" s="1">
        <v>2022.0</v>
      </c>
      <c r="V349" s="1"/>
      <c r="W349" s="1"/>
      <c r="X349" s="4" t="s">
        <v>55</v>
      </c>
      <c r="Y349" s="4" t="s">
        <v>45</v>
      </c>
      <c r="Z349" s="1" t="s">
        <v>47</v>
      </c>
      <c r="AA349" s="1" t="s">
        <v>481</v>
      </c>
      <c r="AB349" s="1" t="s">
        <v>2123</v>
      </c>
      <c r="AC349" s="1" t="s">
        <v>465</v>
      </c>
      <c r="AD349" s="1" t="s">
        <v>47</v>
      </c>
      <c r="AE349" s="1" t="s">
        <v>60</v>
      </c>
      <c r="AF349" s="1" t="s">
        <v>1687</v>
      </c>
      <c r="AG349" s="4" t="s">
        <v>62</v>
      </c>
      <c r="AH349" s="1">
        <v>8.0</v>
      </c>
      <c r="AI349" s="1">
        <v>8.0</v>
      </c>
      <c r="AJ349" s="1">
        <v>8.0</v>
      </c>
      <c r="AK349" s="1">
        <f t="shared" si="1"/>
        <v>24</v>
      </c>
      <c r="AL349" s="1">
        <v>1.0</v>
      </c>
      <c r="AM349" s="1">
        <v>263.0</v>
      </c>
      <c r="AN349" s="1">
        <f t="shared" si="5"/>
        <v>263</v>
      </c>
      <c r="AO349" s="1">
        <f t="shared" si="6"/>
        <v>1.203802281</v>
      </c>
      <c r="AP349" s="4" t="s">
        <v>1131</v>
      </c>
    </row>
    <row r="350" ht="12.75" customHeight="1">
      <c r="A350" s="1" t="s">
        <v>854</v>
      </c>
      <c r="B350" s="1" t="s">
        <v>855</v>
      </c>
      <c r="C350" s="4" t="s">
        <v>44</v>
      </c>
      <c r="D350" s="1" t="s">
        <v>45</v>
      </c>
      <c r="E350" s="4" t="s">
        <v>124</v>
      </c>
      <c r="F350" s="1" t="s">
        <v>126</v>
      </c>
      <c r="G350" s="4" t="s">
        <v>2124</v>
      </c>
      <c r="H350" s="1" t="s">
        <v>48</v>
      </c>
      <c r="I350" s="1" t="s">
        <v>2125</v>
      </c>
      <c r="J350" s="1">
        <v>21.0</v>
      </c>
      <c r="K350" s="1">
        <v>20.0</v>
      </c>
      <c r="L350" s="1">
        <v>2023.0</v>
      </c>
      <c r="M350" s="1">
        <v>28.0</v>
      </c>
      <c r="N350" s="1">
        <v>3.0</v>
      </c>
      <c r="O350" s="1">
        <v>2024.0</v>
      </c>
      <c r="P350" s="1" t="s">
        <v>105</v>
      </c>
      <c r="Q350" s="4" t="s">
        <v>51</v>
      </c>
      <c r="R350" s="1" t="s">
        <v>52</v>
      </c>
      <c r="S350" s="1" t="s">
        <v>301</v>
      </c>
      <c r="T350" s="1" t="s">
        <v>1640</v>
      </c>
      <c r="U350" s="1">
        <v>1870.0</v>
      </c>
      <c r="V350" s="1"/>
      <c r="W350" s="1"/>
      <c r="X350" s="4" t="s">
        <v>55</v>
      </c>
      <c r="Y350" s="4" t="s">
        <v>99</v>
      </c>
      <c r="Z350" s="4" t="s">
        <v>101</v>
      </c>
      <c r="AA350" s="4" t="s">
        <v>1641</v>
      </c>
      <c r="AB350" s="4" t="s">
        <v>1641</v>
      </c>
      <c r="AC350" s="1" t="s">
        <v>465</v>
      </c>
      <c r="AD350" s="1" t="s">
        <v>1889</v>
      </c>
      <c r="AE350" s="1" t="s">
        <v>60</v>
      </c>
      <c r="AF350" s="1" t="s">
        <v>1687</v>
      </c>
      <c r="AG350" s="4" t="s">
        <v>62</v>
      </c>
      <c r="AH350" s="1">
        <v>7.0</v>
      </c>
      <c r="AI350" s="1">
        <v>6.0</v>
      </c>
      <c r="AJ350" s="1">
        <v>6.0</v>
      </c>
      <c r="AK350" s="1">
        <f t="shared" si="1"/>
        <v>19</v>
      </c>
      <c r="AL350" s="1">
        <v>1.0</v>
      </c>
      <c r="AM350" s="1">
        <v>382.0</v>
      </c>
      <c r="AN350" s="1">
        <f t="shared" si="5"/>
        <v>382</v>
      </c>
      <c r="AO350" s="1">
        <f t="shared" si="6"/>
        <v>0.952617801</v>
      </c>
      <c r="AP350" s="4" t="s">
        <v>856</v>
      </c>
    </row>
    <row r="351" ht="12.75" customHeight="1">
      <c r="A351" s="1" t="s">
        <v>97</v>
      </c>
      <c r="B351" s="1" t="s">
        <v>98</v>
      </c>
      <c r="C351" s="4" t="s">
        <v>44</v>
      </c>
      <c r="D351" s="1" t="s">
        <v>99</v>
      </c>
      <c r="E351" s="1" t="s">
        <v>100</v>
      </c>
      <c r="F351" s="1" t="s">
        <v>101</v>
      </c>
      <c r="G351" s="1"/>
      <c r="H351" s="1" t="s">
        <v>48</v>
      </c>
      <c r="I351" s="1" t="s">
        <v>103</v>
      </c>
      <c r="J351" s="1">
        <v>20.0</v>
      </c>
      <c r="K351" s="1">
        <v>90.0</v>
      </c>
      <c r="L351" s="1">
        <v>1997.0</v>
      </c>
      <c r="M351" s="1">
        <v>1.0</v>
      </c>
      <c r="N351" s="1">
        <v>4.0</v>
      </c>
      <c r="O351" s="1">
        <v>2024.0</v>
      </c>
      <c r="P351" s="1" t="s">
        <v>105</v>
      </c>
      <c r="Q351" s="4" t="s">
        <v>51</v>
      </c>
      <c r="R351" s="1" t="s">
        <v>52</v>
      </c>
      <c r="S351" s="1" t="s">
        <v>53</v>
      </c>
      <c r="T351" s="4" t="s">
        <v>106</v>
      </c>
      <c r="U351" s="1">
        <v>1997.0</v>
      </c>
      <c r="V351" s="1"/>
      <c r="W351" s="1"/>
      <c r="X351" s="4" t="s">
        <v>55</v>
      </c>
      <c r="Y351" s="4" t="s">
        <v>99</v>
      </c>
      <c r="Z351" s="4" t="s">
        <v>108</v>
      </c>
      <c r="AA351" s="4" t="s">
        <v>108</v>
      </c>
      <c r="AB351" s="1" t="s">
        <v>109</v>
      </c>
      <c r="AC351" s="1" t="s">
        <v>110</v>
      </c>
      <c r="AD351" s="1" t="s">
        <v>111</v>
      </c>
      <c r="AE351" s="1" t="s">
        <v>112</v>
      </c>
      <c r="AF351" s="1" t="s">
        <v>113</v>
      </c>
      <c r="AG351" s="4" t="s">
        <v>62</v>
      </c>
      <c r="AH351" s="1">
        <v>6.0</v>
      </c>
      <c r="AI351" s="1">
        <v>7.0</v>
      </c>
      <c r="AJ351" s="1">
        <v>7.0</v>
      </c>
      <c r="AK351" s="1">
        <f t="shared" si="1"/>
        <v>20</v>
      </c>
      <c r="AL351" s="1">
        <v>1.0</v>
      </c>
      <c r="AM351" s="1">
        <v>224.0</v>
      </c>
      <c r="AN351" s="1">
        <f t="shared" si="5"/>
        <v>224</v>
      </c>
      <c r="AO351" s="1">
        <f t="shared" si="6"/>
        <v>1.004464286</v>
      </c>
      <c r="AP351" s="1"/>
    </row>
    <row r="352" ht="12.75" customHeight="1">
      <c r="A352" s="1" t="s">
        <v>1219</v>
      </c>
      <c r="B352" s="1" t="s">
        <v>1220</v>
      </c>
      <c r="C352" s="4" t="s">
        <v>44</v>
      </c>
      <c r="D352" s="1" t="s">
        <v>45</v>
      </c>
      <c r="E352" s="4" t="s">
        <v>124</v>
      </c>
      <c r="F352" s="1" t="s">
        <v>126</v>
      </c>
      <c r="G352" s="1"/>
      <c r="H352" s="1" t="s">
        <v>48</v>
      </c>
      <c r="I352" s="1" t="s">
        <v>1863</v>
      </c>
      <c r="J352" s="1">
        <v>20.0</v>
      </c>
      <c r="K352" s="1">
        <v>70.0</v>
      </c>
      <c r="L352" s="1">
        <v>1970.0</v>
      </c>
      <c r="M352" s="1">
        <v>3.0</v>
      </c>
      <c r="N352" s="1">
        <v>4.0</v>
      </c>
      <c r="O352" s="1">
        <v>2024.0</v>
      </c>
      <c r="P352" s="1" t="s">
        <v>105</v>
      </c>
      <c r="Q352" s="4" t="s">
        <v>51</v>
      </c>
      <c r="R352" s="1" t="s">
        <v>52</v>
      </c>
      <c r="S352" s="1" t="s">
        <v>268</v>
      </c>
      <c r="T352" s="4" t="s">
        <v>1811</v>
      </c>
      <c r="U352" s="1">
        <v>1930.0</v>
      </c>
      <c r="V352" s="1"/>
      <c r="W352" s="1"/>
      <c r="X352" s="4" t="s">
        <v>55</v>
      </c>
      <c r="Y352" s="4" t="s">
        <v>45</v>
      </c>
      <c r="Z352" s="1" t="s">
        <v>126</v>
      </c>
      <c r="AA352" s="1" t="s">
        <v>739</v>
      </c>
      <c r="AB352" s="1" t="s">
        <v>2126</v>
      </c>
      <c r="AC352" s="1" t="s">
        <v>1781</v>
      </c>
      <c r="AD352" s="1" t="s">
        <v>1726</v>
      </c>
      <c r="AE352" s="1" t="s">
        <v>60</v>
      </c>
      <c r="AF352" s="1" t="s">
        <v>1687</v>
      </c>
      <c r="AG352" s="4" t="s">
        <v>62</v>
      </c>
      <c r="AH352" s="1">
        <v>9.0</v>
      </c>
      <c r="AI352" s="1">
        <v>9.0</v>
      </c>
      <c r="AJ352" s="1">
        <v>8.0</v>
      </c>
      <c r="AK352" s="1">
        <f t="shared" si="1"/>
        <v>26</v>
      </c>
      <c r="AL352" s="1">
        <v>1.0</v>
      </c>
      <c r="AM352" s="1">
        <v>189.0</v>
      </c>
      <c r="AN352" s="1">
        <f t="shared" si="5"/>
        <v>189</v>
      </c>
      <c r="AO352" s="1">
        <f t="shared" si="6"/>
        <v>1.305291005</v>
      </c>
      <c r="AP352" s="4" t="s">
        <v>1221</v>
      </c>
    </row>
    <row r="353" ht="12.75" customHeight="1">
      <c r="A353" s="1" t="s">
        <v>1132</v>
      </c>
      <c r="B353" s="1" t="s">
        <v>1133</v>
      </c>
      <c r="C353" s="4" t="s">
        <v>44</v>
      </c>
      <c r="D353" s="1" t="s">
        <v>45</v>
      </c>
      <c r="E353" s="4" t="s">
        <v>124</v>
      </c>
      <c r="F353" s="1" t="s">
        <v>126</v>
      </c>
      <c r="G353" s="1"/>
      <c r="H353" s="1" t="s">
        <v>48</v>
      </c>
      <c r="I353" s="1" t="s">
        <v>1863</v>
      </c>
      <c r="J353" s="1">
        <v>21.0</v>
      </c>
      <c r="K353" s="1">
        <v>20.0</v>
      </c>
      <c r="L353" s="1">
        <v>2023.0</v>
      </c>
      <c r="M353" s="1">
        <v>13.0</v>
      </c>
      <c r="N353" s="1">
        <v>4.0</v>
      </c>
      <c r="O353" s="1">
        <v>2024.0</v>
      </c>
      <c r="P353" s="1" t="s">
        <v>105</v>
      </c>
      <c r="Q353" s="4" t="s">
        <v>51</v>
      </c>
      <c r="R353" s="1" t="s">
        <v>52</v>
      </c>
      <c r="S353" s="1" t="s">
        <v>270</v>
      </c>
      <c r="T353" s="4" t="s">
        <v>1710</v>
      </c>
      <c r="U353" s="1">
        <v>2023.0</v>
      </c>
      <c r="V353" s="1"/>
      <c r="W353" s="1"/>
      <c r="X353" s="4" t="s">
        <v>55</v>
      </c>
      <c r="Y353" s="4" t="s">
        <v>45</v>
      </c>
      <c r="Z353" s="1" t="s">
        <v>126</v>
      </c>
      <c r="AA353" s="1" t="s">
        <v>1243</v>
      </c>
      <c r="AB353" s="1" t="s">
        <v>1243</v>
      </c>
      <c r="AC353" s="1" t="s">
        <v>422</v>
      </c>
      <c r="AD353" s="1" t="s">
        <v>2127</v>
      </c>
      <c r="AE353" s="1" t="s">
        <v>423</v>
      </c>
      <c r="AF353" s="1" t="s">
        <v>1687</v>
      </c>
      <c r="AG353" s="4" t="s">
        <v>62</v>
      </c>
      <c r="AH353" s="1">
        <v>7.0</v>
      </c>
      <c r="AI353" s="1">
        <v>7.0</v>
      </c>
      <c r="AJ353" s="1">
        <v>7.0</v>
      </c>
      <c r="AK353" s="1">
        <f t="shared" si="1"/>
        <v>21</v>
      </c>
      <c r="AL353" s="1">
        <v>1.0</v>
      </c>
      <c r="AM353" s="1">
        <v>384.0</v>
      </c>
      <c r="AN353" s="1">
        <f t="shared" si="5"/>
        <v>384</v>
      </c>
      <c r="AO353" s="1">
        <f t="shared" si="6"/>
        <v>1.052604167</v>
      </c>
      <c r="AP353" s="4" t="s">
        <v>1134</v>
      </c>
    </row>
    <row r="354" ht="12.75" customHeight="1">
      <c r="A354" s="1" t="s">
        <v>1184</v>
      </c>
      <c r="B354" s="1" t="s">
        <v>1185</v>
      </c>
      <c r="C354" s="4" t="s">
        <v>44</v>
      </c>
      <c r="D354" s="1" t="s">
        <v>148</v>
      </c>
      <c r="E354" s="1" t="s">
        <v>153</v>
      </c>
      <c r="F354" s="1" t="s">
        <v>154</v>
      </c>
      <c r="G354" s="1"/>
      <c r="H354" s="1" t="s">
        <v>65</v>
      </c>
      <c r="I354" s="1" t="s">
        <v>519</v>
      </c>
      <c r="J354" s="1">
        <v>20.0</v>
      </c>
      <c r="K354" s="1">
        <v>30.0</v>
      </c>
      <c r="L354" s="1">
        <v>1936.0</v>
      </c>
      <c r="M354" s="1">
        <v>19.0</v>
      </c>
      <c r="N354" s="1">
        <v>4.0</v>
      </c>
      <c r="O354" s="1">
        <v>2024.0</v>
      </c>
      <c r="P354" s="1" t="s">
        <v>105</v>
      </c>
      <c r="Q354" s="4" t="s">
        <v>51</v>
      </c>
      <c r="R354" s="1" t="s">
        <v>52</v>
      </c>
      <c r="S354" s="1" t="s">
        <v>106</v>
      </c>
      <c r="T354" s="4" t="s">
        <v>1738</v>
      </c>
      <c r="U354" s="1">
        <v>1925.0</v>
      </c>
      <c r="V354" s="1"/>
      <c r="W354" s="1"/>
      <c r="X354" s="4" t="s">
        <v>55</v>
      </c>
      <c r="Y354" s="4" t="s">
        <v>148</v>
      </c>
      <c r="Z354" s="1" t="s">
        <v>154</v>
      </c>
      <c r="AA354" s="1" t="s">
        <v>1739</v>
      </c>
      <c r="AB354" s="1" t="s">
        <v>478</v>
      </c>
      <c r="AC354" s="1" t="s">
        <v>1781</v>
      </c>
      <c r="AD354" s="1" t="s">
        <v>2128</v>
      </c>
      <c r="AE354" s="1" t="s">
        <v>60</v>
      </c>
      <c r="AF354" s="1" t="s">
        <v>1687</v>
      </c>
      <c r="AG354" s="4" t="s">
        <v>62</v>
      </c>
      <c r="AH354" s="1">
        <v>8.0</v>
      </c>
      <c r="AI354" s="1">
        <v>8.0</v>
      </c>
      <c r="AJ354" s="1">
        <v>8.0</v>
      </c>
      <c r="AK354" s="1">
        <f t="shared" si="1"/>
        <v>24</v>
      </c>
      <c r="AL354" s="1">
        <v>1.0</v>
      </c>
      <c r="AM354" s="1">
        <v>283.0</v>
      </c>
      <c r="AN354" s="1">
        <f t="shared" si="5"/>
        <v>283</v>
      </c>
      <c r="AO354" s="1">
        <f t="shared" si="6"/>
        <v>1.203533569</v>
      </c>
      <c r="AP354" s="4" t="s">
        <v>1186</v>
      </c>
    </row>
    <row r="355" ht="12.75" customHeight="1">
      <c r="A355" s="1" t="s">
        <v>1072</v>
      </c>
      <c r="B355" s="1" t="s">
        <v>1073</v>
      </c>
      <c r="C355" s="4" t="s">
        <v>44</v>
      </c>
      <c r="D355" s="1" t="s">
        <v>148</v>
      </c>
      <c r="E355" s="1" t="s">
        <v>153</v>
      </c>
      <c r="F355" s="1" t="s">
        <v>154</v>
      </c>
      <c r="G355" s="1"/>
      <c r="H355" s="1" t="s">
        <v>48</v>
      </c>
      <c r="I355" s="1" t="s">
        <v>2129</v>
      </c>
      <c r="J355" s="1">
        <v>21.0</v>
      </c>
      <c r="K355" s="1">
        <v>20.0</v>
      </c>
      <c r="L355" s="1">
        <v>2022.0</v>
      </c>
      <c r="M355" s="1">
        <v>3.0</v>
      </c>
      <c r="N355" s="1">
        <v>5.0</v>
      </c>
      <c r="O355" s="1">
        <v>2024.0</v>
      </c>
      <c r="P355" s="1" t="s">
        <v>105</v>
      </c>
      <c r="Q355" s="4" t="s">
        <v>51</v>
      </c>
      <c r="R355" s="1" t="s">
        <v>52</v>
      </c>
      <c r="S355" s="1" t="s">
        <v>301</v>
      </c>
      <c r="T355" s="4" t="s">
        <v>508</v>
      </c>
      <c r="U355" s="1">
        <v>1880.0</v>
      </c>
      <c r="V355" s="1"/>
      <c r="W355" s="1"/>
      <c r="X355" s="4" t="s">
        <v>55</v>
      </c>
      <c r="Y355" s="4" t="s">
        <v>45</v>
      </c>
      <c r="Z355" s="1" t="s">
        <v>126</v>
      </c>
      <c r="AA355" s="1" t="s">
        <v>2130</v>
      </c>
      <c r="AB355" s="1" t="s">
        <v>2131</v>
      </c>
      <c r="AC355" s="1" t="s">
        <v>69</v>
      </c>
      <c r="AD355" s="1" t="s">
        <v>2128</v>
      </c>
      <c r="AE355" s="1" t="s">
        <v>60</v>
      </c>
      <c r="AF355" s="1" t="s">
        <v>1687</v>
      </c>
      <c r="AG355" s="4" t="s">
        <v>62</v>
      </c>
      <c r="AH355" s="1">
        <v>7.0</v>
      </c>
      <c r="AI355" s="1">
        <v>7.0</v>
      </c>
      <c r="AJ355" s="1">
        <v>8.0</v>
      </c>
      <c r="AK355" s="1">
        <f t="shared" si="1"/>
        <v>22</v>
      </c>
      <c r="AL355" s="1">
        <v>1.0</v>
      </c>
      <c r="AM355" s="1">
        <v>350.0</v>
      </c>
      <c r="AN355" s="1">
        <f t="shared" si="5"/>
        <v>350</v>
      </c>
      <c r="AO355" s="1">
        <f t="shared" si="6"/>
        <v>1.102857143</v>
      </c>
      <c r="AP355" s="4" t="s">
        <v>1074</v>
      </c>
    </row>
    <row r="356" ht="12.75" customHeight="1">
      <c r="A356" s="1" t="s">
        <v>1009</v>
      </c>
      <c r="B356" s="1" t="s">
        <v>1010</v>
      </c>
      <c r="C356" s="4" t="s">
        <v>44</v>
      </c>
      <c r="D356" s="1" t="s">
        <v>99</v>
      </c>
      <c r="E356" s="1" t="s">
        <v>100</v>
      </c>
      <c r="F356" s="1" t="s">
        <v>101</v>
      </c>
      <c r="G356" s="1" t="s">
        <v>2132</v>
      </c>
      <c r="H356" s="1" t="s">
        <v>65</v>
      </c>
      <c r="I356" s="1" t="s">
        <v>1997</v>
      </c>
      <c r="J356" s="1">
        <v>21.0</v>
      </c>
      <c r="K356" s="1">
        <v>0.0</v>
      </c>
      <c r="L356" s="1">
        <v>2007.0</v>
      </c>
      <c r="M356" s="1">
        <v>9.0</v>
      </c>
      <c r="N356" s="1">
        <v>5.0</v>
      </c>
      <c r="O356" s="1">
        <v>2024.0</v>
      </c>
      <c r="P356" s="1" t="s">
        <v>105</v>
      </c>
      <c r="Q356" s="4" t="s">
        <v>51</v>
      </c>
      <c r="R356" s="1" t="s">
        <v>52</v>
      </c>
      <c r="S356" s="1" t="s">
        <v>106</v>
      </c>
      <c r="T356" s="4" t="s">
        <v>1833</v>
      </c>
      <c r="U356" s="1">
        <v>1962.0</v>
      </c>
      <c r="V356" s="1"/>
      <c r="W356" s="1"/>
      <c r="X356" s="4" t="s">
        <v>55</v>
      </c>
      <c r="Y356" s="4" t="s">
        <v>99</v>
      </c>
      <c r="Z356" s="4" t="s">
        <v>101</v>
      </c>
      <c r="AA356" s="1" t="s">
        <v>513</v>
      </c>
      <c r="AB356" s="1" t="s">
        <v>2133</v>
      </c>
      <c r="AC356" s="1" t="s">
        <v>69</v>
      </c>
      <c r="AD356" s="1" t="s">
        <v>1889</v>
      </c>
      <c r="AE356" s="1" t="s">
        <v>60</v>
      </c>
      <c r="AF356" s="1" t="s">
        <v>1687</v>
      </c>
      <c r="AG356" s="4" t="s">
        <v>62</v>
      </c>
      <c r="AH356" s="1">
        <v>7.0</v>
      </c>
      <c r="AI356" s="1">
        <v>8.0</v>
      </c>
      <c r="AJ356" s="1">
        <v>7.0</v>
      </c>
      <c r="AK356" s="1">
        <f t="shared" si="1"/>
        <v>22</v>
      </c>
      <c r="AL356" s="1">
        <v>1.0</v>
      </c>
      <c r="AM356" s="1">
        <v>137.0</v>
      </c>
      <c r="AN356" s="1">
        <f t="shared" si="5"/>
        <v>137</v>
      </c>
      <c r="AO356" s="1">
        <f t="shared" si="6"/>
        <v>1.10729927</v>
      </c>
      <c r="AP356" s="4" t="s">
        <v>1011</v>
      </c>
    </row>
    <row r="357" ht="12.75" customHeight="1">
      <c r="A357" s="1" t="s">
        <v>1163</v>
      </c>
      <c r="B357" s="1" t="s">
        <v>1164</v>
      </c>
      <c r="C357" s="4" t="s">
        <v>44</v>
      </c>
      <c r="D357" s="1" t="s">
        <v>212</v>
      </c>
      <c r="E357" s="1" t="s">
        <v>212</v>
      </c>
      <c r="F357" s="1" t="s">
        <v>213</v>
      </c>
      <c r="G357" s="1" t="s">
        <v>2134</v>
      </c>
      <c r="H357" s="1" t="s">
        <v>48</v>
      </c>
      <c r="I357" s="1" t="s">
        <v>1863</v>
      </c>
      <c r="J357" s="1">
        <v>21.0</v>
      </c>
      <c r="K357" s="1">
        <v>20.0</v>
      </c>
      <c r="L357" s="4">
        <v>2022.0</v>
      </c>
      <c r="M357" s="1">
        <v>3.0</v>
      </c>
      <c r="N357" s="1">
        <v>6.0</v>
      </c>
      <c r="O357" s="1">
        <v>2024.0</v>
      </c>
      <c r="P357" s="1" t="s">
        <v>105</v>
      </c>
      <c r="Q357" s="4" t="s">
        <v>51</v>
      </c>
      <c r="R357" s="1" t="s">
        <v>52</v>
      </c>
      <c r="S357" s="1" t="s">
        <v>106</v>
      </c>
      <c r="T357" s="4" t="s">
        <v>1710</v>
      </c>
      <c r="U357" s="4">
        <v>2022.0</v>
      </c>
      <c r="V357" s="1"/>
      <c r="W357" s="1"/>
      <c r="X357" s="4" t="s">
        <v>55</v>
      </c>
      <c r="Y357" s="4" t="s">
        <v>212</v>
      </c>
      <c r="Z357" s="1" t="s">
        <v>213</v>
      </c>
      <c r="AA357" s="1" t="s">
        <v>2135</v>
      </c>
      <c r="AB357" s="1" t="s">
        <v>2136</v>
      </c>
      <c r="AC357" s="1" t="s">
        <v>92</v>
      </c>
      <c r="AD357" s="1" t="s">
        <v>479</v>
      </c>
      <c r="AE357" s="1" t="s">
        <v>60</v>
      </c>
      <c r="AF357" s="1" t="s">
        <v>1687</v>
      </c>
      <c r="AG357" s="4" t="s">
        <v>62</v>
      </c>
      <c r="AH357" s="1">
        <v>6.0</v>
      </c>
      <c r="AI357" s="1">
        <v>5.0</v>
      </c>
      <c r="AJ357" s="1">
        <v>5.0</v>
      </c>
      <c r="AK357" s="1">
        <f t="shared" si="1"/>
        <v>16</v>
      </c>
      <c r="AL357" s="1">
        <v>1.0</v>
      </c>
      <c r="AM357" s="1">
        <v>301.0</v>
      </c>
      <c r="AN357" s="1">
        <f t="shared" si="5"/>
        <v>301</v>
      </c>
      <c r="AO357" s="1">
        <f t="shared" si="6"/>
        <v>0.8033222591</v>
      </c>
      <c r="AP357" s="4" t="s">
        <v>1165</v>
      </c>
    </row>
    <row r="358" ht="12.75" customHeight="1">
      <c r="A358" s="1" t="s">
        <v>673</v>
      </c>
      <c r="B358" s="1" t="s">
        <v>674</v>
      </c>
      <c r="C358" s="4" t="s">
        <v>44</v>
      </c>
      <c r="D358" s="4" t="s">
        <v>148</v>
      </c>
      <c r="E358" s="4" t="s">
        <v>153</v>
      </c>
      <c r="F358" s="4" t="s">
        <v>158</v>
      </c>
      <c r="G358" s="1" t="s">
        <v>2137</v>
      </c>
      <c r="H358" s="1" t="s">
        <v>48</v>
      </c>
      <c r="I358" s="1" t="s">
        <v>2138</v>
      </c>
      <c r="J358" s="1">
        <v>21.0</v>
      </c>
      <c r="K358" s="1">
        <v>20.0</v>
      </c>
      <c r="L358" s="4">
        <v>2021.0</v>
      </c>
      <c r="M358" s="1">
        <v>5.0</v>
      </c>
      <c r="N358" s="1">
        <v>6.0</v>
      </c>
      <c r="O358" s="1">
        <v>2024.0</v>
      </c>
      <c r="P358" s="1" t="s">
        <v>105</v>
      </c>
      <c r="Q358" s="4" t="s">
        <v>51</v>
      </c>
      <c r="R358" s="1" t="s">
        <v>52</v>
      </c>
      <c r="S358" s="1" t="s">
        <v>237</v>
      </c>
      <c r="T358" s="1" t="s">
        <v>1766</v>
      </c>
      <c r="U358" s="4">
        <v>1937.0</v>
      </c>
      <c r="V358" s="1"/>
      <c r="W358" s="1"/>
      <c r="X358" s="4" t="s">
        <v>55</v>
      </c>
      <c r="Y358" s="4" t="s">
        <v>99</v>
      </c>
      <c r="Z358" s="1" t="s">
        <v>1779</v>
      </c>
      <c r="AA358" s="1" t="s">
        <v>2139</v>
      </c>
      <c r="AB358" s="1" t="s">
        <v>2140</v>
      </c>
      <c r="AC358" s="1" t="s">
        <v>58</v>
      </c>
      <c r="AD358" s="1" t="s">
        <v>2141</v>
      </c>
      <c r="AE358" s="1" t="s">
        <v>60</v>
      </c>
      <c r="AF358" s="1" t="s">
        <v>1687</v>
      </c>
      <c r="AG358" s="4" t="s">
        <v>62</v>
      </c>
      <c r="AH358" s="1">
        <v>8.0</v>
      </c>
      <c r="AI358" s="1">
        <v>8.0</v>
      </c>
      <c r="AJ358" s="1">
        <v>7.0</v>
      </c>
      <c r="AK358" s="1">
        <f t="shared" si="1"/>
        <v>23</v>
      </c>
      <c r="AL358" s="1">
        <v>1.0</v>
      </c>
      <c r="AM358" s="1">
        <v>151.0</v>
      </c>
      <c r="AN358" s="1">
        <f t="shared" si="5"/>
        <v>151</v>
      </c>
      <c r="AO358" s="1">
        <f t="shared" si="6"/>
        <v>1.156622517</v>
      </c>
      <c r="AP358" s="4" t="s">
        <v>675</v>
      </c>
    </row>
    <row r="359" ht="12.75" customHeight="1">
      <c r="A359" s="1" t="s">
        <v>1090</v>
      </c>
      <c r="B359" s="1" t="s">
        <v>1091</v>
      </c>
      <c r="C359" s="4" t="s">
        <v>44</v>
      </c>
      <c r="D359" s="1" t="s">
        <v>45</v>
      </c>
      <c r="E359" s="4" t="s">
        <v>124</v>
      </c>
      <c r="F359" s="1" t="s">
        <v>126</v>
      </c>
      <c r="G359" s="1" t="s">
        <v>2142</v>
      </c>
      <c r="H359" s="1" t="s">
        <v>48</v>
      </c>
      <c r="I359" s="1" t="s">
        <v>1642</v>
      </c>
      <c r="J359" s="1">
        <v>21.0</v>
      </c>
      <c r="K359" s="1">
        <v>20.0</v>
      </c>
      <c r="L359" s="1">
        <v>2021.0</v>
      </c>
      <c r="M359" s="1">
        <v>22.0</v>
      </c>
      <c r="N359" s="1">
        <v>6.0</v>
      </c>
      <c r="O359" s="1">
        <v>2024.0</v>
      </c>
      <c r="P359" s="1" t="s">
        <v>105</v>
      </c>
      <c r="Q359" s="4" t="s">
        <v>51</v>
      </c>
      <c r="R359" s="1" t="s">
        <v>52</v>
      </c>
      <c r="S359" s="1" t="s">
        <v>106</v>
      </c>
      <c r="T359" s="4" t="s">
        <v>1710</v>
      </c>
      <c r="U359" s="1">
        <v>2021.0</v>
      </c>
      <c r="V359" s="1"/>
      <c r="W359" s="1"/>
      <c r="X359" s="4" t="s">
        <v>55</v>
      </c>
      <c r="Y359" s="4" t="s">
        <v>45</v>
      </c>
      <c r="Z359" s="4" t="s">
        <v>2143</v>
      </c>
      <c r="AA359" s="4" t="s">
        <v>2144</v>
      </c>
      <c r="AB359" s="4" t="s">
        <v>2145</v>
      </c>
      <c r="AC359" s="4" t="s">
        <v>1670</v>
      </c>
      <c r="AD359" s="1" t="s">
        <v>142</v>
      </c>
      <c r="AE359" s="1" t="s">
        <v>60</v>
      </c>
      <c r="AF359" s="1" t="s">
        <v>1687</v>
      </c>
      <c r="AG359" s="4" t="s">
        <v>62</v>
      </c>
      <c r="AH359" s="1">
        <v>7.0</v>
      </c>
      <c r="AI359" s="1">
        <v>7.0</v>
      </c>
      <c r="AJ359" s="1">
        <v>6.0</v>
      </c>
      <c r="AK359" s="1">
        <f t="shared" si="1"/>
        <v>20</v>
      </c>
      <c r="AL359" s="1">
        <v>1.0</v>
      </c>
      <c r="AM359" s="1">
        <v>351.0</v>
      </c>
      <c r="AN359" s="1">
        <f t="shared" si="5"/>
        <v>351</v>
      </c>
      <c r="AO359" s="1">
        <f t="shared" si="6"/>
        <v>1.002849003</v>
      </c>
      <c r="AP359" s="4" t="s">
        <v>1092</v>
      </c>
    </row>
    <row r="360" ht="12.75" customHeight="1">
      <c r="A360" s="1" t="s">
        <v>1481</v>
      </c>
      <c r="B360" s="1" t="s">
        <v>1482</v>
      </c>
      <c r="C360" s="4" t="s">
        <v>44</v>
      </c>
      <c r="D360" s="1" t="s">
        <v>45</v>
      </c>
      <c r="E360" s="4" t="s">
        <v>124</v>
      </c>
      <c r="F360" s="1" t="s">
        <v>126</v>
      </c>
      <c r="G360" s="1" t="s">
        <v>2146</v>
      </c>
      <c r="H360" s="1" t="s">
        <v>48</v>
      </c>
      <c r="I360" s="1" t="s">
        <v>2117</v>
      </c>
      <c r="J360" s="1">
        <v>21.0</v>
      </c>
      <c r="K360" s="1">
        <v>20.0</v>
      </c>
      <c r="L360" s="1">
        <v>2023.0</v>
      </c>
      <c r="M360" s="1">
        <v>4.0</v>
      </c>
      <c r="N360" s="1">
        <v>7.0</v>
      </c>
      <c r="O360" s="1">
        <v>2024.0</v>
      </c>
      <c r="P360" s="1" t="s">
        <v>105</v>
      </c>
      <c r="Q360" s="4" t="s">
        <v>51</v>
      </c>
      <c r="R360" s="1" t="s">
        <v>52</v>
      </c>
      <c r="S360" s="1" t="s">
        <v>237</v>
      </c>
      <c r="T360" s="4" t="s">
        <v>2147</v>
      </c>
      <c r="U360" s="1">
        <v>2024.0</v>
      </c>
      <c r="V360" s="1"/>
      <c r="W360" s="1"/>
      <c r="X360" s="4" t="s">
        <v>55</v>
      </c>
      <c r="Y360" s="4" t="s">
        <v>45</v>
      </c>
      <c r="Z360" s="1" t="s">
        <v>126</v>
      </c>
      <c r="AA360" s="1" t="s">
        <v>739</v>
      </c>
      <c r="AB360" s="1" t="s">
        <v>739</v>
      </c>
      <c r="AC360" s="1" t="s">
        <v>58</v>
      </c>
      <c r="AD360" s="1" t="s">
        <v>142</v>
      </c>
      <c r="AE360" s="1" t="s">
        <v>60</v>
      </c>
      <c r="AF360" s="1" t="s">
        <v>1687</v>
      </c>
      <c r="AG360" s="4" t="s">
        <v>62</v>
      </c>
      <c r="AH360" s="1">
        <v>7.0</v>
      </c>
      <c r="AI360" s="1">
        <v>7.0</v>
      </c>
      <c r="AJ360" s="1">
        <v>7.0</v>
      </c>
      <c r="AK360" s="1">
        <f t="shared" si="1"/>
        <v>21</v>
      </c>
      <c r="AL360" s="1">
        <v>1.0</v>
      </c>
      <c r="AM360" s="1">
        <v>175.0</v>
      </c>
      <c r="AN360" s="1">
        <f t="shared" si="5"/>
        <v>175</v>
      </c>
      <c r="AO360" s="1">
        <f t="shared" si="6"/>
        <v>1.055714286</v>
      </c>
      <c r="AP360" s="4" t="s">
        <v>1483</v>
      </c>
    </row>
    <row r="361" ht="12.75" customHeight="1">
      <c r="A361" s="1" t="s">
        <v>1609</v>
      </c>
      <c r="B361" s="1" t="s">
        <v>1610</v>
      </c>
      <c r="C361" s="4" t="s">
        <v>44</v>
      </c>
      <c r="D361" s="1" t="s">
        <v>45</v>
      </c>
      <c r="E361" s="1" t="s">
        <v>46</v>
      </c>
      <c r="F361" s="1" t="s">
        <v>47</v>
      </c>
      <c r="G361" s="1" t="s">
        <v>1610</v>
      </c>
      <c r="H361" s="1" t="s">
        <v>65</v>
      </c>
      <c r="I361" s="1" t="s">
        <v>1789</v>
      </c>
      <c r="J361" s="1">
        <v>21.0</v>
      </c>
      <c r="K361" s="1">
        <v>20.0</v>
      </c>
      <c r="L361" s="1">
        <v>2024.0</v>
      </c>
      <c r="M361" s="1">
        <v>12.0</v>
      </c>
      <c r="N361" s="1">
        <v>7.0</v>
      </c>
      <c r="O361" s="1">
        <v>2024.0</v>
      </c>
      <c r="P361" s="1" t="s">
        <v>105</v>
      </c>
      <c r="Q361" s="4" t="s">
        <v>51</v>
      </c>
      <c r="R361" s="1" t="s">
        <v>52</v>
      </c>
      <c r="S361" s="1" t="s">
        <v>30</v>
      </c>
      <c r="T361" s="4" t="s">
        <v>91</v>
      </c>
      <c r="U361" s="1">
        <v>1998.0</v>
      </c>
      <c r="V361" s="1"/>
      <c r="W361" s="1"/>
      <c r="X361" s="4" t="s">
        <v>55</v>
      </c>
      <c r="Y361" s="4" t="s">
        <v>45</v>
      </c>
      <c r="Z361" s="1" t="s">
        <v>47</v>
      </c>
      <c r="AA361" s="1" t="s">
        <v>2148</v>
      </c>
      <c r="AB361" s="1" t="s">
        <v>2149</v>
      </c>
      <c r="AC361" s="1" t="s">
        <v>422</v>
      </c>
      <c r="AD361" s="1" t="s">
        <v>143</v>
      </c>
      <c r="AE361" s="1" t="s">
        <v>423</v>
      </c>
      <c r="AF361" s="1" t="s">
        <v>1687</v>
      </c>
      <c r="AG361" s="4" t="s">
        <v>62</v>
      </c>
      <c r="AH361" s="1">
        <v>6.0</v>
      </c>
      <c r="AI361" s="1">
        <v>7.0</v>
      </c>
      <c r="AJ361" s="1">
        <v>7.0</v>
      </c>
      <c r="AK361" s="1">
        <f t="shared" si="1"/>
        <v>20</v>
      </c>
      <c r="AL361" s="1">
        <v>1.0</v>
      </c>
      <c r="AM361" s="1">
        <v>221.0</v>
      </c>
      <c r="AN361" s="1">
        <f t="shared" si="5"/>
        <v>221</v>
      </c>
      <c r="AO361" s="1">
        <f t="shared" si="6"/>
        <v>1.004524887</v>
      </c>
      <c r="AP361" s="4" t="s">
        <v>1611</v>
      </c>
    </row>
    <row r="362" ht="12.75" customHeight="1">
      <c r="A362" s="1" t="s">
        <v>1268</v>
      </c>
      <c r="B362" s="1" t="s">
        <v>1269</v>
      </c>
      <c r="C362" s="4" t="s">
        <v>44</v>
      </c>
      <c r="D362" s="1" t="s">
        <v>45</v>
      </c>
      <c r="E362" s="1" t="s">
        <v>46</v>
      </c>
      <c r="F362" s="1" t="s">
        <v>47</v>
      </c>
      <c r="G362" s="1" t="s">
        <v>1269</v>
      </c>
      <c r="H362" s="1" t="s">
        <v>48</v>
      </c>
      <c r="I362" s="1" t="s">
        <v>1857</v>
      </c>
      <c r="J362" s="1">
        <v>21.0</v>
      </c>
      <c r="K362" s="1">
        <v>20.0</v>
      </c>
      <c r="L362" s="1">
        <v>2024.0</v>
      </c>
      <c r="M362" s="1">
        <v>24.0</v>
      </c>
      <c r="N362" s="1">
        <v>7.0</v>
      </c>
      <c r="O362" s="1">
        <v>2024.0</v>
      </c>
      <c r="P362" s="1" t="s">
        <v>105</v>
      </c>
      <c r="Q362" s="4" t="s">
        <v>51</v>
      </c>
      <c r="R362" s="1" t="s">
        <v>52</v>
      </c>
      <c r="S362" s="1" t="s">
        <v>106</v>
      </c>
      <c r="T362" s="4" t="s">
        <v>2147</v>
      </c>
      <c r="U362" s="1">
        <v>2024.0</v>
      </c>
      <c r="V362" s="1"/>
      <c r="W362" s="1"/>
      <c r="X362" s="4" t="s">
        <v>55</v>
      </c>
      <c r="Y362" s="4" t="s">
        <v>45</v>
      </c>
      <c r="Z362" s="1" t="s">
        <v>47</v>
      </c>
      <c r="AA362" s="1" t="s">
        <v>481</v>
      </c>
      <c r="AB362" s="1" t="s">
        <v>481</v>
      </c>
      <c r="AC362" s="1" t="s">
        <v>58</v>
      </c>
      <c r="AD362" s="1" t="s">
        <v>2150</v>
      </c>
      <c r="AE362" s="1" t="s">
        <v>60</v>
      </c>
      <c r="AF362" s="1" t="s">
        <v>1687</v>
      </c>
      <c r="AG362" s="4" t="s">
        <v>62</v>
      </c>
      <c r="AH362" s="1">
        <v>8.0</v>
      </c>
      <c r="AI362" s="1">
        <v>8.0</v>
      </c>
      <c r="AJ362" s="1">
        <v>9.0</v>
      </c>
      <c r="AK362" s="1">
        <f t="shared" si="1"/>
        <v>25</v>
      </c>
      <c r="AL362" s="1">
        <v>1.0</v>
      </c>
      <c r="AM362" s="1">
        <v>205.0</v>
      </c>
      <c r="AN362" s="1">
        <f t="shared" si="5"/>
        <v>205</v>
      </c>
      <c r="AO362" s="1">
        <f t="shared" si="6"/>
        <v>1.254878049</v>
      </c>
      <c r="AP362" s="4" t="s">
        <v>1270</v>
      </c>
    </row>
    <row r="363" ht="12.75" customHeight="1">
      <c r="A363" s="1" t="s">
        <v>1080</v>
      </c>
      <c r="B363" s="1" t="s">
        <v>1081</v>
      </c>
      <c r="C363" s="4" t="s">
        <v>44</v>
      </c>
      <c r="D363" s="1" t="s">
        <v>99</v>
      </c>
      <c r="E363" s="1" t="s">
        <v>199</v>
      </c>
      <c r="F363" s="1" t="s">
        <v>200</v>
      </c>
      <c r="G363" s="1" t="s">
        <v>2151</v>
      </c>
      <c r="H363" s="1" t="s">
        <v>65</v>
      </c>
      <c r="I363" s="1" t="s">
        <v>428</v>
      </c>
      <c r="J363" s="1">
        <v>21.0</v>
      </c>
      <c r="K363" s="1">
        <v>20.0</v>
      </c>
      <c r="L363" s="1">
        <v>2023.0</v>
      </c>
      <c r="M363" s="1">
        <v>10.0</v>
      </c>
      <c r="N363" s="1">
        <v>8.0</v>
      </c>
      <c r="O363" s="1">
        <v>2024.0</v>
      </c>
      <c r="P363" s="1" t="s">
        <v>105</v>
      </c>
      <c r="Q363" s="4" t="s">
        <v>51</v>
      </c>
      <c r="R363" s="1" t="s">
        <v>52</v>
      </c>
      <c r="S363" s="1" t="s">
        <v>270</v>
      </c>
      <c r="T363" s="4" t="s">
        <v>106</v>
      </c>
      <c r="U363" s="1">
        <v>2010.0</v>
      </c>
      <c r="V363" s="1"/>
      <c r="W363" s="1"/>
      <c r="X363" s="4" t="s">
        <v>55</v>
      </c>
      <c r="Y363" s="4" t="s">
        <v>99</v>
      </c>
      <c r="Z363" s="1" t="s">
        <v>200</v>
      </c>
      <c r="AA363" s="1" t="s">
        <v>2152</v>
      </c>
      <c r="AB363" s="1" t="s">
        <v>2152</v>
      </c>
      <c r="AC363" s="1" t="s">
        <v>58</v>
      </c>
      <c r="AD363" s="1" t="s">
        <v>2153</v>
      </c>
      <c r="AE363" s="1" t="s">
        <v>60</v>
      </c>
      <c r="AF363" s="1" t="s">
        <v>1687</v>
      </c>
      <c r="AG363" s="4" t="s">
        <v>62</v>
      </c>
      <c r="AH363" s="1">
        <v>9.0</v>
      </c>
      <c r="AI363" s="1">
        <v>8.0</v>
      </c>
      <c r="AJ363" s="1">
        <v>8.0</v>
      </c>
      <c r="AK363" s="1">
        <f t="shared" si="1"/>
        <v>25</v>
      </c>
      <c r="AL363" s="1">
        <v>1.0</v>
      </c>
      <c r="AM363" s="1">
        <v>495.0</v>
      </c>
      <c r="AN363" s="1">
        <f t="shared" si="5"/>
        <v>495</v>
      </c>
      <c r="AO363" s="1">
        <f t="shared" si="6"/>
        <v>1.252020202</v>
      </c>
      <c r="AP363" s="4" t="s">
        <v>1083</v>
      </c>
    </row>
    <row r="364" ht="12.75" customHeight="1">
      <c r="A364" s="1" t="s">
        <v>860</v>
      </c>
      <c r="B364" s="1" t="s">
        <v>861</v>
      </c>
      <c r="C364" s="4" t="s">
        <v>44</v>
      </c>
      <c r="D364" s="1" t="s">
        <v>99</v>
      </c>
      <c r="E364" s="1" t="s">
        <v>173</v>
      </c>
      <c r="F364" s="1" t="s">
        <v>178</v>
      </c>
      <c r="G364" s="1" t="s">
        <v>2154</v>
      </c>
      <c r="H364" s="1" t="s">
        <v>65</v>
      </c>
      <c r="I364" s="1" t="s">
        <v>1857</v>
      </c>
      <c r="J364" s="1">
        <v>21.0</v>
      </c>
      <c r="K364" s="1">
        <v>20.0</v>
      </c>
      <c r="L364" s="1">
        <v>2021.0</v>
      </c>
      <c r="M364" s="1">
        <v>29.0</v>
      </c>
      <c r="N364" s="1">
        <v>8.0</v>
      </c>
      <c r="O364" s="1">
        <v>2024.0</v>
      </c>
      <c r="P364" s="1" t="s">
        <v>105</v>
      </c>
      <c r="Q364" s="4" t="s">
        <v>51</v>
      </c>
      <c r="R364" s="1" t="s">
        <v>52</v>
      </c>
      <c r="S364" s="1" t="s">
        <v>106</v>
      </c>
      <c r="T364" s="4" t="s">
        <v>106</v>
      </c>
      <c r="U364" s="4">
        <v>2015.0</v>
      </c>
      <c r="V364" s="1"/>
      <c r="W364" s="1"/>
      <c r="X364" s="4" t="s">
        <v>55</v>
      </c>
      <c r="Y364" s="4" t="s">
        <v>99</v>
      </c>
      <c r="Z364" s="1" t="s">
        <v>178</v>
      </c>
      <c r="AA364" s="1" t="s">
        <v>2155</v>
      </c>
      <c r="AB364" s="1" t="s">
        <v>2155</v>
      </c>
      <c r="AC364" s="1" t="s">
        <v>1781</v>
      </c>
      <c r="AD364" s="1" t="s">
        <v>2156</v>
      </c>
      <c r="AE364" s="1" t="s">
        <v>60</v>
      </c>
      <c r="AF364" s="1" t="s">
        <v>1687</v>
      </c>
      <c r="AG364" s="4" t="s">
        <v>62</v>
      </c>
      <c r="AH364" s="1">
        <v>8.0</v>
      </c>
      <c r="AI364" s="1">
        <v>8.0</v>
      </c>
      <c r="AJ364" s="1">
        <v>7.0</v>
      </c>
      <c r="AK364" s="1">
        <f t="shared" si="1"/>
        <v>23</v>
      </c>
      <c r="AL364" s="1">
        <v>1.0</v>
      </c>
      <c r="AM364" s="1">
        <v>141.0</v>
      </c>
      <c r="AN364" s="1">
        <f t="shared" si="5"/>
        <v>141</v>
      </c>
      <c r="AO364" s="1">
        <f t="shared" si="6"/>
        <v>1.157092199</v>
      </c>
      <c r="AP364" s="4" t="s">
        <v>862</v>
      </c>
    </row>
    <row r="365" ht="12.75" customHeight="1">
      <c r="A365" s="1" t="s">
        <v>1572</v>
      </c>
      <c r="B365" s="1" t="s">
        <v>1573</v>
      </c>
      <c r="C365" s="4" t="s">
        <v>44</v>
      </c>
      <c r="D365" s="1" t="s">
        <v>45</v>
      </c>
      <c r="E365" s="4" t="s">
        <v>124</v>
      </c>
      <c r="F365" s="1" t="s">
        <v>126</v>
      </c>
      <c r="G365" s="1" t="s">
        <v>2157</v>
      </c>
      <c r="H365" s="1" t="s">
        <v>48</v>
      </c>
      <c r="I365" s="1" t="s">
        <v>1863</v>
      </c>
      <c r="J365" s="1">
        <v>21.0</v>
      </c>
      <c r="K365" s="1">
        <v>20.0</v>
      </c>
      <c r="L365" s="1">
        <v>2022.0</v>
      </c>
      <c r="M365" s="1">
        <v>8.0</v>
      </c>
      <c r="N365" s="1">
        <v>9.0</v>
      </c>
      <c r="O365" s="1">
        <v>2024.0</v>
      </c>
      <c r="P365" s="1" t="s">
        <v>105</v>
      </c>
      <c r="Q365" s="4" t="s">
        <v>51</v>
      </c>
      <c r="R365" s="1" t="s">
        <v>52</v>
      </c>
      <c r="S365" s="1" t="s">
        <v>268</v>
      </c>
      <c r="T365" s="4" t="s">
        <v>106</v>
      </c>
      <c r="U365" s="1">
        <v>1990.0</v>
      </c>
      <c r="V365" s="1"/>
      <c r="W365" s="1"/>
      <c r="X365" s="4" t="s">
        <v>55</v>
      </c>
      <c r="Y365" s="4" t="s">
        <v>45</v>
      </c>
      <c r="Z365" s="1" t="s">
        <v>126</v>
      </c>
      <c r="AA365" s="1" t="s">
        <v>2158</v>
      </c>
      <c r="AB365" s="1" t="s">
        <v>2159</v>
      </c>
      <c r="AC365" s="1" t="s">
        <v>1781</v>
      </c>
      <c r="AD365" s="1" t="s">
        <v>1814</v>
      </c>
      <c r="AE365" s="1" t="s">
        <v>60</v>
      </c>
      <c r="AF365" s="1" t="s">
        <v>1687</v>
      </c>
      <c r="AG365" s="4" t="s">
        <v>62</v>
      </c>
      <c r="AH365" s="1">
        <v>8.0</v>
      </c>
      <c r="AI365" s="1">
        <v>8.0</v>
      </c>
      <c r="AJ365" s="1">
        <v>8.0</v>
      </c>
      <c r="AK365" s="1">
        <f t="shared" si="1"/>
        <v>24</v>
      </c>
      <c r="AL365" s="1">
        <v>1.0</v>
      </c>
      <c r="AM365" s="1">
        <v>218.0</v>
      </c>
      <c r="AN365" s="1">
        <f t="shared" si="5"/>
        <v>218</v>
      </c>
      <c r="AO365" s="1">
        <f t="shared" si="6"/>
        <v>1.204587156</v>
      </c>
      <c r="AP365" s="4" t="s">
        <v>1574</v>
      </c>
    </row>
    <row r="366" ht="12.75" customHeight="1">
      <c r="A366" s="1" t="s">
        <v>660</v>
      </c>
      <c r="B366" s="1" t="s">
        <v>663</v>
      </c>
      <c r="C366" s="4" t="s">
        <v>44</v>
      </c>
      <c r="D366" s="1" t="s">
        <v>45</v>
      </c>
      <c r="E366" s="4" t="s">
        <v>124</v>
      </c>
      <c r="F366" s="1" t="s">
        <v>126</v>
      </c>
      <c r="G366" s="1" t="s">
        <v>2160</v>
      </c>
      <c r="H366" s="1" t="s">
        <v>48</v>
      </c>
      <c r="I366" s="1" t="s">
        <v>428</v>
      </c>
      <c r="J366" s="1">
        <v>20.0</v>
      </c>
      <c r="K366" s="1">
        <v>90.0</v>
      </c>
      <c r="L366" s="1">
        <v>1992.0</v>
      </c>
      <c r="M366" s="1">
        <v>14.0</v>
      </c>
      <c r="N366" s="1">
        <v>9.0</v>
      </c>
      <c r="O366" s="1">
        <v>2024.0</v>
      </c>
      <c r="P366" s="1" t="s">
        <v>105</v>
      </c>
      <c r="Q366" s="4" t="s">
        <v>51</v>
      </c>
      <c r="R366" s="1" t="s">
        <v>52</v>
      </c>
      <c r="S366" s="1" t="s">
        <v>268</v>
      </c>
      <c r="T366" s="4" t="s">
        <v>106</v>
      </c>
      <c r="U366" s="4">
        <v>1970.0</v>
      </c>
      <c r="V366" s="1"/>
      <c r="W366" s="1"/>
      <c r="X366" s="4" t="s">
        <v>30</v>
      </c>
      <c r="Y366" s="4" t="s">
        <v>30</v>
      </c>
      <c r="Z366" s="1" t="s">
        <v>2161</v>
      </c>
      <c r="AA366" s="1" t="s">
        <v>2161</v>
      </c>
      <c r="AB366" s="1" t="s">
        <v>2161</v>
      </c>
      <c r="AC366" s="1" t="s">
        <v>58</v>
      </c>
      <c r="AD366" s="1" t="s">
        <v>1939</v>
      </c>
      <c r="AE366" s="1" t="s">
        <v>60</v>
      </c>
      <c r="AF366" s="1" t="s">
        <v>1687</v>
      </c>
      <c r="AG366" s="4" t="s">
        <v>62</v>
      </c>
      <c r="AH366" s="1">
        <v>9.0</v>
      </c>
      <c r="AI366" s="1">
        <v>8.0</v>
      </c>
      <c r="AJ366" s="1">
        <v>8.0</v>
      </c>
      <c r="AK366" s="1">
        <f t="shared" si="1"/>
        <v>25</v>
      </c>
      <c r="AL366" s="1">
        <v>1.0</v>
      </c>
      <c r="AM366" s="1">
        <v>306.0</v>
      </c>
      <c r="AN366" s="1">
        <f t="shared" si="5"/>
        <v>306</v>
      </c>
      <c r="AO366" s="1">
        <f t="shared" si="6"/>
        <v>1.253267974</v>
      </c>
      <c r="AP366" s="4" t="s">
        <v>664</v>
      </c>
    </row>
    <row r="367" ht="12.75" customHeight="1">
      <c r="A367" s="1" t="s">
        <v>936</v>
      </c>
      <c r="B367" s="1" t="s">
        <v>937</v>
      </c>
      <c r="C367" s="4" t="s">
        <v>44</v>
      </c>
      <c r="D367" s="1" t="s">
        <v>99</v>
      </c>
      <c r="E367" s="1" t="s">
        <v>180</v>
      </c>
      <c r="F367" s="1" t="s">
        <v>182</v>
      </c>
      <c r="G367" s="1" t="s">
        <v>937</v>
      </c>
      <c r="H367" s="1" t="s">
        <v>65</v>
      </c>
      <c r="I367" s="1" t="s">
        <v>1863</v>
      </c>
      <c r="J367" s="1">
        <v>21.0</v>
      </c>
      <c r="K367" s="1">
        <v>20.0</v>
      </c>
      <c r="L367" s="1">
        <v>2023.0</v>
      </c>
      <c r="M367" s="1">
        <v>14.0</v>
      </c>
      <c r="N367" s="1">
        <v>9.0</v>
      </c>
      <c r="O367" s="1">
        <v>2024.0</v>
      </c>
      <c r="P367" s="1" t="s">
        <v>105</v>
      </c>
      <c r="Q367" s="4" t="s">
        <v>51</v>
      </c>
      <c r="R367" s="1" t="s">
        <v>266</v>
      </c>
      <c r="S367" s="1" t="s">
        <v>269</v>
      </c>
      <c r="T367" s="4" t="s">
        <v>1725</v>
      </c>
      <c r="U367" s="1">
        <v>1920.0</v>
      </c>
      <c r="V367" s="1"/>
      <c r="W367" s="1"/>
      <c r="X367" s="4" t="s">
        <v>55</v>
      </c>
      <c r="Y367" s="4" t="s">
        <v>99</v>
      </c>
      <c r="Z367" s="4" t="s">
        <v>195</v>
      </c>
      <c r="AA367" s="4" t="s">
        <v>541</v>
      </c>
      <c r="AB367" s="4" t="s">
        <v>541</v>
      </c>
      <c r="AC367" s="1" t="s">
        <v>69</v>
      </c>
      <c r="AD367" s="1" t="s">
        <v>304</v>
      </c>
      <c r="AE367" s="1" t="s">
        <v>60</v>
      </c>
      <c r="AF367" s="1" t="s">
        <v>1687</v>
      </c>
      <c r="AG367" s="4" t="s">
        <v>62</v>
      </c>
      <c r="AH367" s="1">
        <v>8.0</v>
      </c>
      <c r="AI367" s="1">
        <v>8.0</v>
      </c>
      <c r="AJ367" s="1">
        <v>7.0</v>
      </c>
      <c r="AK367" s="1">
        <f t="shared" si="1"/>
        <v>23</v>
      </c>
      <c r="AL367" s="1">
        <v>1.0</v>
      </c>
      <c r="AM367" s="1">
        <v>125.0</v>
      </c>
      <c r="AN367" s="1">
        <f t="shared" si="5"/>
        <v>125</v>
      </c>
      <c r="AO367" s="1">
        <f t="shared" si="6"/>
        <v>1.158</v>
      </c>
      <c r="AP367" s="4" t="s">
        <v>938</v>
      </c>
    </row>
    <row r="368" ht="12.75" customHeight="1">
      <c r="A368" s="1" t="s">
        <v>1430</v>
      </c>
      <c r="B368" s="1" t="s">
        <v>1431</v>
      </c>
      <c r="C368" s="4" t="s">
        <v>44</v>
      </c>
      <c r="D368" s="1" t="s">
        <v>45</v>
      </c>
      <c r="E368" s="1" t="s">
        <v>46</v>
      </c>
      <c r="F368" s="1" t="s">
        <v>47</v>
      </c>
      <c r="G368" s="1" t="s">
        <v>1431</v>
      </c>
      <c r="H368" s="1" t="s">
        <v>65</v>
      </c>
      <c r="I368" s="1" t="s">
        <v>1776</v>
      </c>
      <c r="J368" s="1">
        <v>21.0</v>
      </c>
      <c r="K368" s="1">
        <v>20.0</v>
      </c>
      <c r="L368" s="1">
        <v>2024.0</v>
      </c>
      <c r="M368" s="1">
        <v>23.0</v>
      </c>
      <c r="N368" s="1">
        <v>9.0</v>
      </c>
      <c r="O368" s="1">
        <v>2024.0</v>
      </c>
      <c r="P368" s="1" t="s">
        <v>105</v>
      </c>
      <c r="Q368" s="4" t="s">
        <v>51</v>
      </c>
      <c r="R368" s="1" t="s">
        <v>52</v>
      </c>
      <c r="S368" s="1" t="s">
        <v>106</v>
      </c>
      <c r="T368" s="4" t="s">
        <v>91</v>
      </c>
      <c r="U368" s="1">
        <v>2001.0</v>
      </c>
      <c r="V368" s="1">
        <v>9.0</v>
      </c>
      <c r="W368" s="1">
        <v>13.0</v>
      </c>
      <c r="X368" s="4" t="s">
        <v>55</v>
      </c>
      <c r="Y368" s="4" t="s">
        <v>45</v>
      </c>
      <c r="Z368" s="1" t="s">
        <v>47</v>
      </c>
      <c r="AA368" s="1" t="s">
        <v>226</v>
      </c>
      <c r="AB368" s="4" t="s">
        <v>2053</v>
      </c>
      <c r="AC368" s="1" t="s">
        <v>1781</v>
      </c>
      <c r="AD368" s="1" t="s">
        <v>47</v>
      </c>
      <c r="AE368" s="1" t="s">
        <v>60</v>
      </c>
      <c r="AF368" s="1" t="s">
        <v>1687</v>
      </c>
      <c r="AG368" s="4" t="s">
        <v>62</v>
      </c>
      <c r="AH368" s="1">
        <v>6.0</v>
      </c>
      <c r="AI368" s="1">
        <v>5.0</v>
      </c>
      <c r="AJ368" s="1">
        <v>6.0</v>
      </c>
      <c r="AK368" s="1">
        <f t="shared" si="1"/>
        <v>17</v>
      </c>
      <c r="AL368" s="1">
        <v>1.0</v>
      </c>
      <c r="AM368" s="1">
        <v>302.0</v>
      </c>
      <c r="AN368" s="1">
        <f t="shared" si="5"/>
        <v>302</v>
      </c>
      <c r="AO368" s="1">
        <f t="shared" si="6"/>
        <v>0.8533112583</v>
      </c>
      <c r="AP368" s="4" t="s">
        <v>1432</v>
      </c>
    </row>
    <row r="369" ht="12.75" customHeight="1">
      <c r="A369" s="1" t="s">
        <v>1296</v>
      </c>
      <c r="B369" s="1" t="s">
        <v>1299</v>
      </c>
      <c r="C369" s="4" t="s">
        <v>44</v>
      </c>
      <c r="D369" s="1" t="s">
        <v>99</v>
      </c>
      <c r="E369" s="1" t="s">
        <v>100</v>
      </c>
      <c r="F369" s="1" t="s">
        <v>101</v>
      </c>
      <c r="G369" s="1" t="s">
        <v>2162</v>
      </c>
      <c r="H369" s="1" t="s">
        <v>65</v>
      </c>
      <c r="I369" s="1" t="s">
        <v>486</v>
      </c>
      <c r="J369" s="1">
        <v>21.0</v>
      </c>
      <c r="K369" s="1">
        <v>20.0</v>
      </c>
      <c r="L369" s="1">
        <v>2024.0</v>
      </c>
      <c r="M369" s="1">
        <v>2.0</v>
      </c>
      <c r="N369" s="1">
        <v>11.0</v>
      </c>
      <c r="O369" s="1">
        <v>2024.0</v>
      </c>
      <c r="P369" s="1" t="s">
        <v>105</v>
      </c>
      <c r="Q369" s="4" t="s">
        <v>51</v>
      </c>
      <c r="R369" s="1" t="s">
        <v>52</v>
      </c>
      <c r="S369" s="1" t="s">
        <v>298</v>
      </c>
      <c r="T369" s="4" t="s">
        <v>2147</v>
      </c>
      <c r="U369" s="1">
        <v>2024.0</v>
      </c>
      <c r="V369" s="1"/>
      <c r="W369" s="1"/>
      <c r="X369" s="4" t="s">
        <v>55</v>
      </c>
      <c r="Y369" s="4" t="s">
        <v>99</v>
      </c>
      <c r="Z369" s="1" t="s">
        <v>175</v>
      </c>
      <c r="AA369" s="1" t="s">
        <v>2163</v>
      </c>
      <c r="AB369" s="1" t="s">
        <v>2164</v>
      </c>
      <c r="AC369" s="1" t="s">
        <v>2165</v>
      </c>
      <c r="AD369" s="1" t="s">
        <v>2166</v>
      </c>
      <c r="AE369" s="1" t="s">
        <v>2167</v>
      </c>
      <c r="AF369" s="1" t="s">
        <v>1687</v>
      </c>
      <c r="AG369" s="4" t="s">
        <v>62</v>
      </c>
      <c r="AH369" s="1">
        <v>7.0</v>
      </c>
      <c r="AI369" s="1">
        <v>7.0</v>
      </c>
      <c r="AJ369" s="1">
        <v>6.0</v>
      </c>
      <c r="AK369" s="1">
        <f t="shared" si="1"/>
        <v>20</v>
      </c>
      <c r="AL369" s="1">
        <v>1.0</v>
      </c>
      <c r="AM369" s="1">
        <v>397.0</v>
      </c>
      <c r="AN369" s="1">
        <f t="shared" si="5"/>
        <v>397</v>
      </c>
      <c r="AO369" s="1">
        <f t="shared" si="6"/>
        <v>1.002518892</v>
      </c>
      <c r="AP369" s="4" t="s">
        <v>1300</v>
      </c>
    </row>
    <row r="370" ht="12.75" customHeight="1">
      <c r="A370" s="1" t="s">
        <v>651</v>
      </c>
      <c r="B370" s="1" t="s">
        <v>652</v>
      </c>
      <c r="C370" s="4" t="s">
        <v>44</v>
      </c>
      <c r="D370" s="1" t="s">
        <v>99</v>
      </c>
      <c r="E370" s="1" t="s">
        <v>173</v>
      </c>
      <c r="F370" s="1" t="s">
        <v>175</v>
      </c>
      <c r="G370" s="1" t="s">
        <v>2168</v>
      </c>
      <c r="H370" s="1" t="s">
        <v>48</v>
      </c>
      <c r="I370" s="1" t="s">
        <v>428</v>
      </c>
      <c r="J370" s="1">
        <v>21.0</v>
      </c>
      <c r="K370" s="1">
        <v>20.0</v>
      </c>
      <c r="L370" s="1">
        <v>2023.0</v>
      </c>
      <c r="M370" s="1">
        <v>15.0</v>
      </c>
      <c r="N370" s="1">
        <v>11.0</v>
      </c>
      <c r="O370" s="1">
        <v>2024.0</v>
      </c>
      <c r="P370" s="1" t="s">
        <v>105</v>
      </c>
      <c r="Q370" s="4" t="s">
        <v>51</v>
      </c>
      <c r="R370" s="1" t="s">
        <v>52</v>
      </c>
      <c r="S370" s="1" t="s">
        <v>106</v>
      </c>
      <c r="T370" s="4" t="s">
        <v>2064</v>
      </c>
      <c r="U370" s="4">
        <v>1980.0</v>
      </c>
      <c r="V370" s="1"/>
      <c r="W370" s="1"/>
      <c r="X370" s="4" t="s">
        <v>55</v>
      </c>
      <c r="Y370" s="4" t="s">
        <v>99</v>
      </c>
      <c r="Z370" s="1" t="s">
        <v>175</v>
      </c>
      <c r="AA370" s="1" t="s">
        <v>1699</v>
      </c>
      <c r="AB370" s="1" t="s">
        <v>2169</v>
      </c>
      <c r="AC370" s="1" t="s">
        <v>58</v>
      </c>
      <c r="AD370" s="1" t="s">
        <v>2035</v>
      </c>
      <c r="AE370" s="1" t="s">
        <v>60</v>
      </c>
      <c r="AF370" s="1" t="s">
        <v>1687</v>
      </c>
      <c r="AG370" s="4" t="s">
        <v>62</v>
      </c>
      <c r="AH370" s="1">
        <v>8.0</v>
      </c>
      <c r="AI370" s="1">
        <v>8.0</v>
      </c>
      <c r="AJ370" s="1">
        <v>7.0</v>
      </c>
      <c r="AK370" s="1">
        <f t="shared" si="1"/>
        <v>23</v>
      </c>
      <c r="AL370" s="1">
        <v>1.0</v>
      </c>
      <c r="AM370" s="1">
        <v>231.0</v>
      </c>
      <c r="AN370" s="1">
        <f t="shared" si="5"/>
        <v>231</v>
      </c>
      <c r="AO370" s="1">
        <f t="shared" si="6"/>
        <v>1.154329004</v>
      </c>
      <c r="AP370" s="4" t="s">
        <v>653</v>
      </c>
    </row>
    <row r="371" ht="12.75" customHeight="1">
      <c r="A371" s="1" t="s">
        <v>1190</v>
      </c>
      <c r="B371" s="1" t="s">
        <v>1191</v>
      </c>
      <c r="C371" s="4" t="s">
        <v>44</v>
      </c>
      <c r="D371" s="1" t="s">
        <v>94</v>
      </c>
      <c r="E371" s="1" t="s">
        <v>122</v>
      </c>
      <c r="F371" s="1" t="s">
        <v>123</v>
      </c>
      <c r="G371" s="1" t="s">
        <v>2170</v>
      </c>
      <c r="H371" s="1" t="s">
        <v>48</v>
      </c>
      <c r="I371" s="1" t="s">
        <v>1789</v>
      </c>
      <c r="J371" s="1">
        <v>21.0</v>
      </c>
      <c r="K371" s="1">
        <v>20.0</v>
      </c>
      <c r="L371" s="1">
        <v>2023.0</v>
      </c>
      <c r="M371" s="1">
        <v>19.0</v>
      </c>
      <c r="N371" s="1">
        <v>12.0</v>
      </c>
      <c r="O371" s="1">
        <v>2024.0</v>
      </c>
      <c r="P371" s="1" t="s">
        <v>105</v>
      </c>
      <c r="Q371" s="4" t="s">
        <v>51</v>
      </c>
      <c r="R371" s="1" t="s">
        <v>52</v>
      </c>
      <c r="S371" s="1" t="s">
        <v>301</v>
      </c>
      <c r="T371" s="4" t="s">
        <v>2171</v>
      </c>
      <c r="U371" s="1">
        <v>1885.0</v>
      </c>
      <c r="V371" s="1"/>
      <c r="W371" s="1"/>
      <c r="X371" s="4" t="s">
        <v>55</v>
      </c>
      <c r="Y371" s="4" t="s">
        <v>94</v>
      </c>
      <c r="Z371" s="1" t="s">
        <v>120</v>
      </c>
      <c r="AA371" s="1" t="s">
        <v>1829</v>
      </c>
      <c r="AB371" s="1" t="s">
        <v>1829</v>
      </c>
      <c r="AC371" s="1" t="s">
        <v>261</v>
      </c>
      <c r="AD371" s="1" t="s">
        <v>1944</v>
      </c>
      <c r="AE371" s="1" t="s">
        <v>60</v>
      </c>
      <c r="AF371" s="1" t="s">
        <v>1687</v>
      </c>
      <c r="AG371" s="4" t="s">
        <v>62</v>
      </c>
      <c r="AH371" s="1">
        <v>7.0</v>
      </c>
      <c r="AI371" s="1">
        <v>7.0</v>
      </c>
      <c r="AJ371" s="1">
        <v>6.0</v>
      </c>
      <c r="AK371" s="1">
        <f t="shared" si="1"/>
        <v>20</v>
      </c>
      <c r="AL371" s="1">
        <v>1.0</v>
      </c>
      <c r="AM371" s="1">
        <v>272.0</v>
      </c>
      <c r="AN371" s="1">
        <f t="shared" si="5"/>
        <v>272</v>
      </c>
      <c r="AO371" s="1">
        <f t="shared" si="6"/>
        <v>1.003676471</v>
      </c>
      <c r="AP371" s="4" t="s">
        <v>1192</v>
      </c>
    </row>
    <row r="372" ht="12.75" customHeight="1">
      <c r="A372" s="1" t="s">
        <v>1418</v>
      </c>
      <c r="B372" s="1" t="s">
        <v>1419</v>
      </c>
      <c r="C372" s="4" t="s">
        <v>44</v>
      </c>
      <c r="D372" s="1" t="s">
        <v>45</v>
      </c>
      <c r="E372" s="4" t="s">
        <v>124</v>
      </c>
      <c r="F372" s="1" t="s">
        <v>126</v>
      </c>
      <c r="G372" s="1" t="s">
        <v>2172</v>
      </c>
      <c r="H372" s="1" t="s">
        <v>48</v>
      </c>
      <c r="I372" s="1" t="s">
        <v>1863</v>
      </c>
      <c r="J372" s="1">
        <v>21.0</v>
      </c>
      <c r="K372" s="1">
        <v>10.0</v>
      </c>
      <c r="L372" s="1">
        <v>2016.0</v>
      </c>
      <c r="M372" s="1">
        <v>25.0</v>
      </c>
      <c r="N372" s="1">
        <v>12.0</v>
      </c>
      <c r="O372" s="1">
        <v>2024.0</v>
      </c>
      <c r="P372" s="1" t="s">
        <v>105</v>
      </c>
      <c r="Q372" s="4" t="s">
        <v>51</v>
      </c>
      <c r="R372" s="1" t="s">
        <v>52</v>
      </c>
      <c r="S372" s="1" t="s">
        <v>106</v>
      </c>
      <c r="T372" s="4" t="s">
        <v>1902</v>
      </c>
      <c r="U372" s="1">
        <v>1989.0</v>
      </c>
      <c r="V372" s="1"/>
      <c r="W372" s="1"/>
      <c r="X372" s="4" t="s">
        <v>55</v>
      </c>
      <c r="Y372" s="4" t="s">
        <v>45</v>
      </c>
      <c r="Z372" s="1" t="s">
        <v>126</v>
      </c>
      <c r="AA372" s="1" t="s">
        <v>1970</v>
      </c>
      <c r="AB372" s="1" t="s">
        <v>2173</v>
      </c>
      <c r="AC372" s="1" t="s">
        <v>1209</v>
      </c>
      <c r="AD372" s="1" t="s">
        <v>2174</v>
      </c>
      <c r="AE372" s="1" t="s">
        <v>60</v>
      </c>
      <c r="AF372" s="1" t="s">
        <v>1687</v>
      </c>
      <c r="AG372" s="4" t="s">
        <v>62</v>
      </c>
      <c r="AH372" s="1">
        <v>9.0</v>
      </c>
      <c r="AI372" s="1">
        <v>9.0</v>
      </c>
      <c r="AJ372" s="1">
        <v>9.0</v>
      </c>
      <c r="AK372" s="1">
        <f t="shared" si="1"/>
        <v>27</v>
      </c>
      <c r="AL372" s="1">
        <v>1.0</v>
      </c>
      <c r="AM372" s="1">
        <v>395.0</v>
      </c>
      <c r="AN372" s="1">
        <f t="shared" si="5"/>
        <v>395</v>
      </c>
      <c r="AO372" s="1">
        <f t="shared" si="6"/>
        <v>1.352531646</v>
      </c>
      <c r="AP372" s="4" t="s">
        <v>1420</v>
      </c>
    </row>
    <row r="373" ht="12.75" customHeight="1">
      <c r="A373" s="1" t="s">
        <v>1301</v>
      </c>
      <c r="B373" s="1" t="s">
        <v>1302</v>
      </c>
      <c r="C373" s="4" t="s">
        <v>44</v>
      </c>
      <c r="D373" s="1" t="s">
        <v>99</v>
      </c>
      <c r="E373" s="1" t="s">
        <v>100</v>
      </c>
      <c r="F373" s="1" t="s">
        <v>101</v>
      </c>
      <c r="G373" s="1" t="s">
        <v>1302</v>
      </c>
      <c r="H373" s="1" t="s">
        <v>65</v>
      </c>
      <c r="I373" s="1" t="s">
        <v>2175</v>
      </c>
      <c r="J373" s="1">
        <v>21.0</v>
      </c>
      <c r="K373" s="1">
        <v>20.0</v>
      </c>
      <c r="L373" s="1">
        <v>2024.0</v>
      </c>
      <c r="M373" s="1">
        <v>5.0</v>
      </c>
      <c r="N373" s="1">
        <v>18.0</v>
      </c>
      <c r="O373" s="1">
        <v>2024.0</v>
      </c>
      <c r="P373" s="1" t="s">
        <v>105</v>
      </c>
      <c r="Q373" s="4" t="s">
        <v>51</v>
      </c>
      <c r="R373" s="1" t="s">
        <v>52</v>
      </c>
      <c r="S373" s="1" t="s">
        <v>270</v>
      </c>
      <c r="T373" s="4" t="s">
        <v>2147</v>
      </c>
      <c r="U373" s="1">
        <v>2024.0</v>
      </c>
      <c r="V373" s="1"/>
      <c r="W373" s="1"/>
      <c r="X373" s="4" t="s">
        <v>55</v>
      </c>
      <c r="Y373" s="4" t="s">
        <v>99</v>
      </c>
      <c r="Z373" s="4" t="s">
        <v>101</v>
      </c>
      <c r="AA373" s="1" t="s">
        <v>1834</v>
      </c>
      <c r="AB373" s="1" t="s">
        <v>1835</v>
      </c>
      <c r="AC373" s="1" t="s">
        <v>69</v>
      </c>
      <c r="AD373" s="1" t="s">
        <v>1889</v>
      </c>
      <c r="AE373" s="1" t="s">
        <v>60</v>
      </c>
      <c r="AF373" s="1" t="s">
        <v>1687</v>
      </c>
      <c r="AG373" s="4" t="s">
        <v>62</v>
      </c>
      <c r="AH373" s="1">
        <v>6.0</v>
      </c>
      <c r="AI373" s="1">
        <v>6.0</v>
      </c>
      <c r="AJ373" s="1">
        <v>7.0</v>
      </c>
      <c r="AK373" s="1">
        <f t="shared" si="1"/>
        <v>19</v>
      </c>
      <c r="AL373" s="1">
        <v>1.0</v>
      </c>
      <c r="AM373" s="1">
        <v>350.0</v>
      </c>
      <c r="AN373" s="1">
        <f t="shared" si="5"/>
        <v>350</v>
      </c>
      <c r="AO373" s="1">
        <f t="shared" si="6"/>
        <v>0.9528571429</v>
      </c>
      <c r="AP373" s="4" t="s">
        <v>1303</v>
      </c>
    </row>
    <row r="374" ht="12.75" customHeight="1">
      <c r="A374" s="1" t="s">
        <v>1452</v>
      </c>
      <c r="B374" s="1" t="s">
        <v>1453</v>
      </c>
      <c r="C374" s="4" t="s">
        <v>44</v>
      </c>
      <c r="D374" s="1" t="s">
        <v>45</v>
      </c>
      <c r="E374" s="1" t="s">
        <v>46</v>
      </c>
      <c r="F374" s="1" t="s">
        <v>47</v>
      </c>
      <c r="G374" s="1" t="s">
        <v>1453</v>
      </c>
      <c r="H374" s="1" t="s">
        <v>48</v>
      </c>
      <c r="I374" s="1" t="s">
        <v>2176</v>
      </c>
      <c r="J374" s="1">
        <v>20.0</v>
      </c>
      <c r="K374" s="1">
        <v>40.0</v>
      </c>
      <c r="L374" s="1">
        <v>1946.0</v>
      </c>
      <c r="M374" s="1">
        <v>5.0</v>
      </c>
      <c r="N374" s="1">
        <v>26.0</v>
      </c>
      <c r="O374" s="1">
        <v>2024.0</v>
      </c>
      <c r="P374" s="1" t="s">
        <v>105</v>
      </c>
      <c r="Q374" s="4" t="s">
        <v>51</v>
      </c>
      <c r="R374" s="1" t="s">
        <v>52</v>
      </c>
      <c r="S374" s="1" t="s">
        <v>299</v>
      </c>
      <c r="T374" s="4" t="s">
        <v>239</v>
      </c>
      <c r="U374" s="1">
        <v>1890.0</v>
      </c>
      <c r="V374" s="1"/>
      <c r="W374" s="1"/>
      <c r="X374" s="4" t="s">
        <v>55</v>
      </c>
      <c r="Y374" s="4" t="s">
        <v>45</v>
      </c>
      <c r="Z374" s="1" t="s">
        <v>47</v>
      </c>
      <c r="AA374" s="4" t="s">
        <v>56</v>
      </c>
      <c r="AB374" s="4" t="s">
        <v>2177</v>
      </c>
      <c r="AC374" s="1" t="s">
        <v>69</v>
      </c>
      <c r="AD374" s="1" t="s">
        <v>47</v>
      </c>
      <c r="AE374" s="1" t="s">
        <v>2178</v>
      </c>
      <c r="AF374" s="1" t="s">
        <v>1687</v>
      </c>
      <c r="AG374" s="4" t="s">
        <v>62</v>
      </c>
      <c r="AH374" s="1">
        <v>8.0</v>
      </c>
      <c r="AI374" s="1">
        <v>8.0</v>
      </c>
      <c r="AJ374" s="1">
        <v>9.0</v>
      </c>
      <c r="AK374" s="1">
        <f t="shared" si="1"/>
        <v>25</v>
      </c>
      <c r="AL374" s="1">
        <v>1.0</v>
      </c>
      <c r="AM374" s="1">
        <v>198.0</v>
      </c>
      <c r="AN374" s="1">
        <f t="shared" si="5"/>
        <v>198</v>
      </c>
      <c r="AO374" s="1">
        <f t="shared" si="6"/>
        <v>1.255050505</v>
      </c>
      <c r="AP374" s="4" t="s">
        <v>1454</v>
      </c>
    </row>
    <row r="375" ht="12.75" customHeight="1">
      <c r="A375" s="1" t="s">
        <v>640</v>
      </c>
      <c r="B375" s="1" t="s">
        <v>641</v>
      </c>
      <c r="C375" s="4" t="s">
        <v>44</v>
      </c>
      <c r="D375" s="1" t="s">
        <v>45</v>
      </c>
      <c r="E375" s="4" t="s">
        <v>124</v>
      </c>
      <c r="F375" s="1" t="s">
        <v>126</v>
      </c>
      <c r="G375" s="1" t="s">
        <v>2179</v>
      </c>
      <c r="H375" s="1" t="s">
        <v>48</v>
      </c>
      <c r="I375" s="1" t="s">
        <v>2180</v>
      </c>
      <c r="J375" s="1">
        <v>21.0</v>
      </c>
      <c r="K375" s="1">
        <v>20.0</v>
      </c>
      <c r="L375" s="1">
        <v>2023.0</v>
      </c>
      <c r="M375" s="1">
        <v>11.0</v>
      </c>
      <c r="N375" s="1">
        <v>1.0</v>
      </c>
      <c r="O375" s="1">
        <v>2025.0</v>
      </c>
      <c r="P375" s="1" t="s">
        <v>105</v>
      </c>
      <c r="Q375" s="4" t="s">
        <v>51</v>
      </c>
      <c r="R375" s="1" t="s">
        <v>52</v>
      </c>
      <c r="S375" s="1" t="s">
        <v>294</v>
      </c>
      <c r="T375" s="4" t="s">
        <v>526</v>
      </c>
      <c r="U375" s="1">
        <v>1955.0</v>
      </c>
      <c r="V375" s="1"/>
      <c r="W375" s="1"/>
      <c r="X375" s="4" t="s">
        <v>55</v>
      </c>
      <c r="Y375" s="4" t="s">
        <v>45</v>
      </c>
      <c r="Z375" s="1" t="s">
        <v>126</v>
      </c>
      <c r="AA375" s="1" t="s">
        <v>2116</v>
      </c>
      <c r="AB375" s="1" t="s">
        <v>2181</v>
      </c>
      <c r="AC375" s="1" t="s">
        <v>19</v>
      </c>
      <c r="AD375" s="1" t="s">
        <v>1816</v>
      </c>
      <c r="AE375" s="1" t="s">
        <v>2121</v>
      </c>
      <c r="AF375" s="1" t="s">
        <v>1687</v>
      </c>
      <c r="AG375" s="4" t="s">
        <v>62</v>
      </c>
      <c r="AH375" s="1">
        <v>7.0</v>
      </c>
      <c r="AI375" s="1">
        <v>7.0</v>
      </c>
      <c r="AJ375" s="1">
        <v>7.0</v>
      </c>
      <c r="AK375" s="1">
        <f t="shared" si="1"/>
        <v>21</v>
      </c>
      <c r="AL375" s="1">
        <v>1.0</v>
      </c>
      <c r="AM375" s="1">
        <v>319.0</v>
      </c>
      <c r="AN375" s="1">
        <f t="shared" si="5"/>
        <v>319</v>
      </c>
      <c r="AO375" s="1">
        <f t="shared" si="6"/>
        <v>1.053134796</v>
      </c>
      <c r="AP375" s="4" t="s">
        <v>642</v>
      </c>
    </row>
    <row r="376" ht="12.75" customHeight="1">
      <c r="A376" s="1" t="s">
        <v>1256</v>
      </c>
      <c r="B376" s="1" t="s">
        <v>1257</v>
      </c>
      <c r="C376" s="4" t="s">
        <v>44</v>
      </c>
      <c r="D376" s="1" t="s">
        <v>45</v>
      </c>
      <c r="E376" s="1" t="s">
        <v>46</v>
      </c>
      <c r="F376" s="1" t="s">
        <v>47</v>
      </c>
      <c r="G376" s="1" t="s">
        <v>1257</v>
      </c>
      <c r="H376" s="1" t="s">
        <v>48</v>
      </c>
      <c r="I376" s="1" t="s">
        <v>1997</v>
      </c>
      <c r="J376" s="1">
        <v>19.0</v>
      </c>
      <c r="K376" s="1">
        <v>80.0</v>
      </c>
      <c r="L376" s="1">
        <v>1859.0</v>
      </c>
      <c r="M376" s="1">
        <v>23.0</v>
      </c>
      <c r="N376" s="1">
        <v>1.0</v>
      </c>
      <c r="O376" s="1">
        <v>2025.0</v>
      </c>
      <c r="P376" s="1" t="s">
        <v>105</v>
      </c>
      <c r="Q376" s="4" t="s">
        <v>51</v>
      </c>
      <c r="R376" s="1" t="s">
        <v>52</v>
      </c>
      <c r="S376" s="1" t="s">
        <v>224</v>
      </c>
      <c r="T376" s="4" t="s">
        <v>395</v>
      </c>
      <c r="U376" s="4">
        <v>1859.0</v>
      </c>
      <c r="V376" s="1"/>
      <c r="W376" s="1"/>
      <c r="X376" s="4" t="s">
        <v>55</v>
      </c>
      <c r="Y376" s="4" t="s">
        <v>45</v>
      </c>
      <c r="Z376" s="1" t="s">
        <v>47</v>
      </c>
      <c r="AA376" s="1" t="s">
        <v>2182</v>
      </c>
      <c r="AB376" s="1" t="s">
        <v>2183</v>
      </c>
      <c r="AC376" s="1" t="s">
        <v>1781</v>
      </c>
      <c r="AD376" s="1" t="s">
        <v>47</v>
      </c>
      <c r="AE376" s="1" t="s">
        <v>60</v>
      </c>
      <c r="AF376" s="4" t="s">
        <v>1754</v>
      </c>
      <c r="AG376" s="4" t="s">
        <v>62</v>
      </c>
      <c r="AH376" s="1">
        <v>7.0</v>
      </c>
      <c r="AI376" s="1">
        <v>6.0</v>
      </c>
      <c r="AJ376" s="1">
        <v>6.0</v>
      </c>
      <c r="AK376" s="1">
        <f t="shared" si="1"/>
        <v>19</v>
      </c>
      <c r="AL376" s="1">
        <v>1.0</v>
      </c>
      <c r="AM376" s="1">
        <v>222.0</v>
      </c>
      <c r="AN376" s="1">
        <f t="shared" si="5"/>
        <v>222</v>
      </c>
      <c r="AO376" s="1">
        <f t="shared" si="6"/>
        <v>0.9545045045</v>
      </c>
      <c r="AP376" s="4" t="s">
        <v>1258</v>
      </c>
    </row>
    <row r="377" ht="12.75" customHeight="1">
      <c r="A377" s="4" t="s">
        <v>1069</v>
      </c>
      <c r="B377" s="4" t="s">
        <v>1070</v>
      </c>
      <c r="C377" s="4" t="s">
        <v>44</v>
      </c>
      <c r="D377" s="4" t="s">
        <v>45</v>
      </c>
      <c r="E377" s="4" t="s">
        <v>46</v>
      </c>
      <c r="F377" s="4" t="s">
        <v>47</v>
      </c>
      <c r="G377" s="4" t="s">
        <v>1070</v>
      </c>
      <c r="H377" s="4" t="s">
        <v>65</v>
      </c>
      <c r="I377" s="1" t="s">
        <v>1997</v>
      </c>
      <c r="J377" s="4">
        <v>21.0</v>
      </c>
      <c r="K377" s="4">
        <v>20.0</v>
      </c>
      <c r="L377" s="4">
        <v>2020.0</v>
      </c>
      <c r="M377" s="4">
        <v>1.0</v>
      </c>
      <c r="N377" s="4">
        <v>2.0</v>
      </c>
      <c r="O377" s="4">
        <v>2025.0</v>
      </c>
      <c r="P377" s="4" t="s">
        <v>105</v>
      </c>
      <c r="Q377" s="4" t="s">
        <v>51</v>
      </c>
      <c r="R377" s="4" t="s">
        <v>52</v>
      </c>
      <c r="S377" s="4" t="s">
        <v>106</v>
      </c>
      <c r="T377" s="4" t="s">
        <v>1710</v>
      </c>
      <c r="U377" s="4">
        <v>2020.0</v>
      </c>
      <c r="V377" s="1"/>
      <c r="W377" s="1"/>
      <c r="X377" s="4" t="s">
        <v>55</v>
      </c>
      <c r="Y377" s="4" t="s">
        <v>45</v>
      </c>
      <c r="Z377" s="4" t="s">
        <v>47</v>
      </c>
      <c r="AA377" s="4" t="s">
        <v>481</v>
      </c>
      <c r="AB377" s="4" t="s">
        <v>2123</v>
      </c>
      <c r="AC377" s="4" t="s">
        <v>1209</v>
      </c>
      <c r="AD377" s="4" t="s">
        <v>1726</v>
      </c>
      <c r="AE377" s="4" t="s">
        <v>60</v>
      </c>
      <c r="AF377" s="4" t="s">
        <v>1754</v>
      </c>
      <c r="AG377" s="4" t="s">
        <v>62</v>
      </c>
      <c r="AH377" s="4">
        <v>8.0</v>
      </c>
      <c r="AI377" s="4">
        <v>8.0</v>
      </c>
      <c r="AJ377" s="4">
        <v>9.0</v>
      </c>
      <c r="AK377" s="1">
        <f t="shared" si="1"/>
        <v>25</v>
      </c>
      <c r="AL377" s="4">
        <v>1.0</v>
      </c>
      <c r="AM377" s="4">
        <v>190.0</v>
      </c>
      <c r="AN377" s="1">
        <f t="shared" si="5"/>
        <v>190</v>
      </c>
      <c r="AO377" s="1">
        <f t="shared" si="6"/>
        <v>1.255263158</v>
      </c>
      <c r="AP377" s="4" t="s">
        <v>1071</v>
      </c>
    </row>
    <row r="378" ht="12.75" customHeight="1">
      <c r="A378" s="4" t="s">
        <v>1621</v>
      </c>
      <c r="B378" s="4" t="s">
        <v>1622</v>
      </c>
      <c r="C378" s="4" t="s">
        <v>44</v>
      </c>
      <c r="D378" s="4" t="s">
        <v>99</v>
      </c>
      <c r="E378" s="4" t="s">
        <v>100</v>
      </c>
      <c r="F378" s="4" t="s">
        <v>101</v>
      </c>
      <c r="G378" s="4" t="s">
        <v>2184</v>
      </c>
      <c r="H378" s="4" t="s">
        <v>48</v>
      </c>
      <c r="I378" s="1" t="s">
        <v>1997</v>
      </c>
      <c r="J378" s="4">
        <v>21.0</v>
      </c>
      <c r="K378" s="4">
        <v>0.0</v>
      </c>
      <c r="L378" s="4">
        <v>2000.0</v>
      </c>
      <c r="M378" s="4">
        <v>6.0</v>
      </c>
      <c r="N378" s="4">
        <v>3.0</v>
      </c>
      <c r="O378" s="4">
        <v>2025.0</v>
      </c>
      <c r="P378" s="4" t="s">
        <v>105</v>
      </c>
      <c r="Q378" s="4" t="s">
        <v>51</v>
      </c>
      <c r="R378" s="4" t="s">
        <v>52</v>
      </c>
      <c r="S378" s="1" t="s">
        <v>106</v>
      </c>
      <c r="T378" s="4" t="s">
        <v>106</v>
      </c>
      <c r="U378" s="4">
        <v>1999.0</v>
      </c>
      <c r="V378" s="1"/>
      <c r="W378" s="1"/>
      <c r="X378" s="4" t="s">
        <v>55</v>
      </c>
      <c r="Y378" s="4" t="s">
        <v>99</v>
      </c>
      <c r="Z378" s="4" t="s">
        <v>101</v>
      </c>
      <c r="AA378" s="4" t="s">
        <v>1641</v>
      </c>
      <c r="AB378" s="4" t="s">
        <v>1641</v>
      </c>
      <c r="AC378" s="4" t="s">
        <v>58</v>
      </c>
      <c r="AD378" s="4" t="s">
        <v>1889</v>
      </c>
      <c r="AE378" s="4" t="s">
        <v>60</v>
      </c>
      <c r="AF378" s="4" t="s">
        <v>1754</v>
      </c>
      <c r="AG378" s="4" t="s">
        <v>62</v>
      </c>
      <c r="AH378" s="4">
        <v>8.0</v>
      </c>
      <c r="AI378" s="4">
        <v>8.0</v>
      </c>
      <c r="AJ378" s="4">
        <v>7.0</v>
      </c>
      <c r="AK378" s="1">
        <f t="shared" si="1"/>
        <v>23</v>
      </c>
      <c r="AL378" s="4">
        <v>1.0</v>
      </c>
      <c r="AM378" s="4">
        <v>589.0</v>
      </c>
      <c r="AN378" s="1">
        <f t="shared" si="5"/>
        <v>589</v>
      </c>
      <c r="AO378" s="1">
        <f t="shared" si="6"/>
        <v>1.151697793</v>
      </c>
      <c r="AP378" s="4" t="s">
        <v>1623</v>
      </c>
    </row>
    <row r="379" ht="12.75" customHeight="1">
      <c r="A379" s="12" t="s">
        <v>773</v>
      </c>
      <c r="B379" s="4" t="s">
        <v>774</v>
      </c>
      <c r="C379" s="4" t="s">
        <v>44</v>
      </c>
      <c r="D379" s="4" t="s">
        <v>45</v>
      </c>
      <c r="E379" s="4" t="s">
        <v>124</v>
      </c>
      <c r="F379" s="12" t="s">
        <v>126</v>
      </c>
      <c r="G379" s="4" t="s">
        <v>2185</v>
      </c>
      <c r="H379" s="4" t="s">
        <v>65</v>
      </c>
      <c r="I379" s="4" t="s">
        <v>2186</v>
      </c>
      <c r="J379" s="4">
        <v>20.0</v>
      </c>
      <c r="K379" s="4">
        <v>90.0</v>
      </c>
      <c r="L379" s="4">
        <v>1991.0</v>
      </c>
      <c r="M379" s="4">
        <v>30.0</v>
      </c>
      <c r="N379" s="4">
        <v>3.0</v>
      </c>
      <c r="O379" s="4">
        <v>2025.0</v>
      </c>
      <c r="P379" s="4" t="s">
        <v>105</v>
      </c>
      <c r="Q379" s="4" t="s">
        <v>51</v>
      </c>
      <c r="R379" s="4" t="s">
        <v>136</v>
      </c>
      <c r="S379" s="4" t="s">
        <v>136</v>
      </c>
      <c r="T379" s="4" t="s">
        <v>1766</v>
      </c>
      <c r="U379" s="4">
        <v>1929.0</v>
      </c>
      <c r="V379" s="1"/>
      <c r="W379" s="1"/>
      <c r="X379" s="4" t="s">
        <v>55</v>
      </c>
      <c r="Y379" s="4" t="s">
        <v>99</v>
      </c>
      <c r="Z379" s="4" t="s">
        <v>178</v>
      </c>
      <c r="AA379" s="4" t="s">
        <v>2187</v>
      </c>
      <c r="AB379" s="4" t="s">
        <v>2188</v>
      </c>
      <c r="AC379" s="4" t="s">
        <v>92</v>
      </c>
      <c r="AD379" s="4" t="s">
        <v>2156</v>
      </c>
      <c r="AE379" s="4" t="s">
        <v>60</v>
      </c>
      <c r="AF379" s="4" t="s">
        <v>60</v>
      </c>
      <c r="AG379" s="4" t="s">
        <v>62</v>
      </c>
      <c r="AH379" s="4">
        <v>7.0</v>
      </c>
      <c r="AI379" s="4">
        <v>8.0</v>
      </c>
      <c r="AJ379" s="4">
        <v>7.0</v>
      </c>
      <c r="AK379" s="1">
        <f t="shared" si="1"/>
        <v>22</v>
      </c>
      <c r="AL379" s="4">
        <v>1.0</v>
      </c>
      <c r="AM379" s="4">
        <v>548.0</v>
      </c>
      <c r="AN379" s="1">
        <f t="shared" si="5"/>
        <v>548</v>
      </c>
      <c r="AO379" s="1">
        <f t="shared" si="6"/>
        <v>1.101824818</v>
      </c>
      <c r="AP379" s="4" t="s">
        <v>775</v>
      </c>
    </row>
    <row r="380" ht="12.75" customHeight="1">
      <c r="A380" s="4" t="s">
        <v>688</v>
      </c>
      <c r="B380" s="4" t="s">
        <v>689</v>
      </c>
      <c r="C380" s="4" t="s">
        <v>44</v>
      </c>
      <c r="D380" s="4" t="s">
        <v>45</v>
      </c>
      <c r="E380" s="4" t="s">
        <v>46</v>
      </c>
      <c r="F380" s="4" t="s">
        <v>47</v>
      </c>
      <c r="G380" s="4" t="s">
        <v>689</v>
      </c>
      <c r="H380" s="4" t="s">
        <v>48</v>
      </c>
      <c r="I380" s="4" t="s">
        <v>1997</v>
      </c>
      <c r="J380" s="4">
        <v>21.0</v>
      </c>
      <c r="K380" s="4">
        <v>10.0</v>
      </c>
      <c r="L380" s="4">
        <v>2010.0</v>
      </c>
      <c r="M380" s="4">
        <v>31.0</v>
      </c>
      <c r="N380" s="4">
        <v>3.0</v>
      </c>
      <c r="O380" s="4">
        <v>2025.0</v>
      </c>
      <c r="P380" s="4" t="s">
        <v>105</v>
      </c>
      <c r="Q380" s="4" t="s">
        <v>51</v>
      </c>
      <c r="R380" s="4" t="s">
        <v>52</v>
      </c>
      <c r="S380" s="4" t="s">
        <v>298</v>
      </c>
      <c r="T380" s="4" t="s">
        <v>54</v>
      </c>
      <c r="U380" s="4">
        <v>1945.0</v>
      </c>
      <c r="V380" s="1"/>
      <c r="W380" s="1"/>
      <c r="X380" s="4" t="s">
        <v>55</v>
      </c>
      <c r="Y380" s="4" t="s">
        <v>45</v>
      </c>
      <c r="Z380" s="4" t="s">
        <v>47</v>
      </c>
      <c r="AA380" s="4" t="s">
        <v>429</v>
      </c>
      <c r="AB380" s="4" t="s">
        <v>2189</v>
      </c>
      <c r="AC380" s="4" t="s">
        <v>465</v>
      </c>
      <c r="AD380" s="4" t="s">
        <v>47</v>
      </c>
      <c r="AE380" s="4" t="s">
        <v>466</v>
      </c>
      <c r="AF380" s="4" t="s">
        <v>60</v>
      </c>
      <c r="AG380" s="4" t="s">
        <v>62</v>
      </c>
      <c r="AH380" s="4">
        <v>8.0</v>
      </c>
      <c r="AI380" s="4">
        <v>8.0</v>
      </c>
      <c r="AJ380" s="4">
        <v>7.0</v>
      </c>
      <c r="AK380" s="1">
        <f t="shared" si="1"/>
        <v>23</v>
      </c>
      <c r="AL380" s="4">
        <v>1.0</v>
      </c>
      <c r="AM380" s="4">
        <v>182.0</v>
      </c>
      <c r="AN380" s="1">
        <f t="shared" si="5"/>
        <v>182</v>
      </c>
      <c r="AO380" s="1">
        <f t="shared" si="6"/>
        <v>1.155494505</v>
      </c>
      <c r="AP380" s="4" t="s">
        <v>690</v>
      </c>
    </row>
    <row r="381" ht="12.75" customHeight="1">
      <c r="A381" s="4" t="s">
        <v>1600</v>
      </c>
      <c r="B381" s="4" t="s">
        <v>1603</v>
      </c>
      <c r="C381" s="4" t="s">
        <v>44</v>
      </c>
      <c r="D381" s="4" t="s">
        <v>99</v>
      </c>
      <c r="E381" s="4" t="s">
        <v>180</v>
      </c>
      <c r="F381" s="4" t="s">
        <v>183</v>
      </c>
      <c r="G381" s="4" t="s">
        <v>2190</v>
      </c>
      <c r="H381" s="4" t="s">
        <v>48</v>
      </c>
      <c r="I381" s="4" t="s">
        <v>2027</v>
      </c>
      <c r="J381" s="4">
        <v>21.0</v>
      </c>
      <c r="K381" s="4">
        <v>20.0</v>
      </c>
      <c r="L381" s="4">
        <v>2023.0</v>
      </c>
      <c r="M381" s="4">
        <v>5.0</v>
      </c>
      <c r="N381" s="4">
        <v>4.0</v>
      </c>
      <c r="O381" s="4">
        <v>2025.0</v>
      </c>
      <c r="P381" s="4" t="s">
        <v>105</v>
      </c>
      <c r="Q381" s="4" t="s">
        <v>51</v>
      </c>
      <c r="R381" s="4" t="s">
        <v>52</v>
      </c>
      <c r="S381" s="4" t="s">
        <v>106</v>
      </c>
      <c r="T381" s="4" t="s">
        <v>1710</v>
      </c>
      <c r="U381" s="4">
        <v>2023.0</v>
      </c>
      <c r="V381" s="4">
        <v>8.0</v>
      </c>
      <c r="W381" s="1"/>
      <c r="X381" s="4" t="s">
        <v>55</v>
      </c>
      <c r="Y381" s="4" t="s">
        <v>99</v>
      </c>
      <c r="Z381" s="4" t="s">
        <v>183</v>
      </c>
      <c r="AA381" s="4" t="s">
        <v>2065</v>
      </c>
      <c r="AB381" s="4" t="s">
        <v>2191</v>
      </c>
      <c r="AC381" s="4" t="s">
        <v>69</v>
      </c>
      <c r="AD381" s="4" t="s">
        <v>2060</v>
      </c>
      <c r="AE381" s="4" t="s">
        <v>60</v>
      </c>
      <c r="AF381" s="4" t="s">
        <v>1687</v>
      </c>
      <c r="AG381" s="4" t="s">
        <v>62</v>
      </c>
      <c r="AH381" s="4">
        <v>8.0</v>
      </c>
      <c r="AI381" s="4">
        <v>8.0</v>
      </c>
      <c r="AJ381" s="4">
        <v>9.0</v>
      </c>
      <c r="AK381" s="1">
        <f t="shared" si="1"/>
        <v>25</v>
      </c>
      <c r="AL381" s="4">
        <v>1.0</v>
      </c>
      <c r="AM381" s="4">
        <v>267.0</v>
      </c>
      <c r="AN381" s="1">
        <f t="shared" si="5"/>
        <v>267</v>
      </c>
      <c r="AO381" s="1">
        <f t="shared" si="6"/>
        <v>1.253745318</v>
      </c>
      <c r="AP381" s="4" t="s">
        <v>1604</v>
      </c>
    </row>
    <row r="382" ht="12.75" customHeight="1">
      <c r="A382" s="4" t="s">
        <v>1050</v>
      </c>
      <c r="B382" s="4" t="s">
        <v>1051</v>
      </c>
      <c r="C382" s="4" t="s">
        <v>44</v>
      </c>
      <c r="D382" s="4" t="s">
        <v>45</v>
      </c>
      <c r="E382" s="4" t="s">
        <v>124</v>
      </c>
      <c r="F382" s="4" t="s">
        <v>126</v>
      </c>
      <c r="G382" s="4" t="s">
        <v>2192</v>
      </c>
      <c r="H382" s="4" t="s">
        <v>65</v>
      </c>
      <c r="I382" s="4" t="s">
        <v>1997</v>
      </c>
      <c r="J382" s="4">
        <v>20.0</v>
      </c>
      <c r="K382" s="4">
        <v>50.0</v>
      </c>
      <c r="L382" s="4">
        <v>1953.0</v>
      </c>
      <c r="M382" s="4">
        <v>13.0</v>
      </c>
      <c r="N382" s="4">
        <v>4.0</v>
      </c>
      <c r="O382" s="4">
        <v>2025.0</v>
      </c>
      <c r="P382" s="4" t="s">
        <v>105</v>
      </c>
      <c r="Q382" s="4" t="s">
        <v>51</v>
      </c>
      <c r="R382" s="4" t="s">
        <v>52</v>
      </c>
      <c r="S382" s="4" t="s">
        <v>106</v>
      </c>
      <c r="T382" s="4" t="s">
        <v>1811</v>
      </c>
      <c r="U382" s="4">
        <v>1935.0</v>
      </c>
      <c r="V382" s="1"/>
      <c r="W382" s="1"/>
      <c r="X382" s="4" t="s">
        <v>55</v>
      </c>
      <c r="Y382" s="4" t="s">
        <v>45</v>
      </c>
      <c r="Z382" s="4" t="s">
        <v>126</v>
      </c>
      <c r="AA382" s="4" t="s">
        <v>739</v>
      </c>
      <c r="AB382" s="4" t="s">
        <v>2126</v>
      </c>
      <c r="AC382" s="4" t="s">
        <v>261</v>
      </c>
      <c r="AD382" s="4" t="s">
        <v>1726</v>
      </c>
      <c r="AE382" s="4" t="s">
        <v>60</v>
      </c>
      <c r="AF382" s="4" t="s">
        <v>1687</v>
      </c>
      <c r="AG382" s="4" t="s">
        <v>62</v>
      </c>
      <c r="AH382" s="4">
        <v>9.0</v>
      </c>
      <c r="AI382" s="4">
        <v>8.0</v>
      </c>
      <c r="AJ382" s="4">
        <v>8.0</v>
      </c>
      <c r="AK382" s="1">
        <f t="shared" si="1"/>
        <v>25</v>
      </c>
      <c r="AL382" s="4">
        <v>1.0</v>
      </c>
      <c r="AM382" s="4">
        <v>271.0</v>
      </c>
      <c r="AN382" s="1">
        <f t="shared" si="5"/>
        <v>271</v>
      </c>
      <c r="AO382" s="1">
        <f t="shared" si="6"/>
        <v>1.253690037</v>
      </c>
      <c r="AP382" s="4" t="s">
        <v>1052</v>
      </c>
    </row>
    <row r="383" ht="12.75" customHeight="1">
      <c r="A383" s="4" t="s">
        <v>665</v>
      </c>
      <c r="B383" s="4" t="s">
        <v>666</v>
      </c>
      <c r="C383" s="4" t="s">
        <v>44</v>
      </c>
      <c r="D383" s="4" t="s">
        <v>45</v>
      </c>
      <c r="E383" s="4" t="s">
        <v>124</v>
      </c>
      <c r="F383" s="4" t="s">
        <v>126</v>
      </c>
      <c r="G383" s="4" t="s">
        <v>2193</v>
      </c>
      <c r="H383" s="4" t="s">
        <v>48</v>
      </c>
      <c r="I383" s="4" t="s">
        <v>2180</v>
      </c>
      <c r="J383" s="4">
        <v>21.0</v>
      </c>
      <c r="K383" s="4">
        <v>20.0</v>
      </c>
      <c r="L383" s="4">
        <v>2024.0</v>
      </c>
      <c r="M383" s="4">
        <v>28.0</v>
      </c>
      <c r="N383" s="4">
        <v>4.0</v>
      </c>
      <c r="O383" s="4">
        <v>2025.0</v>
      </c>
      <c r="P383" s="4" t="s">
        <v>105</v>
      </c>
      <c r="Q383" s="4" t="s">
        <v>51</v>
      </c>
      <c r="R383" s="4" t="s">
        <v>52</v>
      </c>
      <c r="S383" s="4" t="s">
        <v>106</v>
      </c>
      <c r="T383" s="4" t="s">
        <v>2147</v>
      </c>
      <c r="U383" s="4">
        <v>2024.0</v>
      </c>
      <c r="V383" s="4">
        <v>6.0</v>
      </c>
      <c r="W383" s="1"/>
      <c r="X383" s="4" t="s">
        <v>55</v>
      </c>
      <c r="Y383" s="4" t="s">
        <v>45</v>
      </c>
      <c r="Z383" s="4" t="s">
        <v>126</v>
      </c>
      <c r="AA383" s="4" t="s">
        <v>1970</v>
      </c>
      <c r="AB383" s="4" t="s">
        <v>2194</v>
      </c>
      <c r="AC383" s="4" t="s">
        <v>69</v>
      </c>
      <c r="AD383" s="4" t="s">
        <v>1873</v>
      </c>
      <c r="AE383" s="4" t="s">
        <v>60</v>
      </c>
      <c r="AF383" s="4" t="s">
        <v>1687</v>
      </c>
      <c r="AG383" s="4" t="s">
        <v>62</v>
      </c>
      <c r="AH383" s="4">
        <v>7.0</v>
      </c>
      <c r="AI383" s="4">
        <v>7.0</v>
      </c>
      <c r="AJ383" s="4">
        <v>6.0</v>
      </c>
      <c r="AK383" s="1">
        <f t="shared" si="1"/>
        <v>20</v>
      </c>
      <c r="AL383" s="4">
        <v>1.0</v>
      </c>
      <c r="AM383" s="4">
        <v>350.0</v>
      </c>
      <c r="AN383" s="1">
        <f t="shared" si="5"/>
        <v>350</v>
      </c>
      <c r="AO383" s="1">
        <f t="shared" si="6"/>
        <v>1.002857143</v>
      </c>
      <c r="AP383" s="4" t="s">
        <v>667</v>
      </c>
    </row>
    <row r="384" ht="12.75" customHeight="1">
      <c r="A384" s="4" t="s">
        <v>1505</v>
      </c>
      <c r="B384" s="4" t="s">
        <v>1506</v>
      </c>
      <c r="C384" s="4" t="s">
        <v>44</v>
      </c>
      <c r="D384" s="4" t="s">
        <v>99</v>
      </c>
      <c r="E384" s="4" t="s">
        <v>100</v>
      </c>
      <c r="F384" s="4" t="s">
        <v>211</v>
      </c>
      <c r="G384" s="4" t="s">
        <v>2195</v>
      </c>
      <c r="H384" s="4" t="s">
        <v>65</v>
      </c>
      <c r="I384" s="4" t="s">
        <v>1789</v>
      </c>
      <c r="J384" s="4">
        <v>21.0</v>
      </c>
      <c r="K384" s="4">
        <v>20.0</v>
      </c>
      <c r="L384" s="4">
        <v>2023.0</v>
      </c>
      <c r="M384" s="4">
        <v>4.0</v>
      </c>
      <c r="N384" s="4">
        <v>5.0</v>
      </c>
      <c r="O384" s="4">
        <v>2025.0</v>
      </c>
      <c r="P384" s="4" t="s">
        <v>105</v>
      </c>
      <c r="Q384" s="4" t="s">
        <v>51</v>
      </c>
      <c r="R384" s="4" t="s">
        <v>52</v>
      </c>
      <c r="S384" s="4" t="s">
        <v>270</v>
      </c>
      <c r="T384" s="4" t="s">
        <v>106</v>
      </c>
      <c r="U384" s="4">
        <v>2018.0</v>
      </c>
      <c r="V384" s="4">
        <v>11.0</v>
      </c>
      <c r="W384" s="4">
        <v>21.0</v>
      </c>
      <c r="X384" s="4" t="s">
        <v>55</v>
      </c>
      <c r="Y384" s="4" t="s">
        <v>45</v>
      </c>
      <c r="Z384" s="4" t="s">
        <v>126</v>
      </c>
      <c r="AA384" s="4" t="s">
        <v>739</v>
      </c>
      <c r="AB384" s="4" t="s">
        <v>739</v>
      </c>
      <c r="AC384" s="4" t="s">
        <v>69</v>
      </c>
      <c r="AD384" s="4" t="s">
        <v>1873</v>
      </c>
      <c r="AE384" s="4" t="s">
        <v>60</v>
      </c>
      <c r="AF384" s="4" t="s">
        <v>1687</v>
      </c>
      <c r="AG384" s="4" t="s">
        <v>62</v>
      </c>
      <c r="AH384" s="4">
        <v>7.0</v>
      </c>
      <c r="AI384" s="4">
        <v>7.0</v>
      </c>
      <c r="AJ384" s="4">
        <v>6.0</v>
      </c>
      <c r="AK384" s="1">
        <f t="shared" si="1"/>
        <v>20</v>
      </c>
      <c r="AL384" s="4">
        <v>1.0</v>
      </c>
      <c r="AM384" s="4">
        <v>335.0</v>
      </c>
      <c r="AN384" s="1">
        <f t="shared" si="5"/>
        <v>335</v>
      </c>
      <c r="AO384" s="1">
        <f t="shared" si="6"/>
        <v>1.002985075</v>
      </c>
      <c r="AP384" s="4" t="s">
        <v>1507</v>
      </c>
    </row>
    <row r="385" ht="12.75" customHeight="1">
      <c r="A385" s="4" t="s">
        <v>1238</v>
      </c>
      <c r="B385" s="12" t="s">
        <v>1239</v>
      </c>
      <c r="C385" s="4" t="s">
        <v>44</v>
      </c>
      <c r="D385" s="4" t="s">
        <v>45</v>
      </c>
      <c r="E385" s="4" t="s">
        <v>46</v>
      </c>
      <c r="F385" s="4" t="s">
        <v>47</v>
      </c>
      <c r="G385" s="12" t="s">
        <v>1239</v>
      </c>
      <c r="H385" s="4" t="s">
        <v>65</v>
      </c>
      <c r="I385" s="4" t="s">
        <v>428</v>
      </c>
      <c r="J385" s="4">
        <v>20.0</v>
      </c>
      <c r="K385" s="4">
        <v>80.0</v>
      </c>
      <c r="L385" s="4">
        <v>1989.0</v>
      </c>
      <c r="M385" s="4">
        <v>8.0</v>
      </c>
      <c r="N385" s="4">
        <v>5.0</v>
      </c>
      <c r="O385" s="4">
        <v>2025.0</v>
      </c>
      <c r="P385" s="4" t="s">
        <v>246</v>
      </c>
      <c r="Q385" s="4" t="s">
        <v>51</v>
      </c>
      <c r="R385" s="4" t="s">
        <v>223</v>
      </c>
      <c r="S385" s="4" t="s">
        <v>106</v>
      </c>
      <c r="T385" s="4" t="s">
        <v>91</v>
      </c>
      <c r="U385" s="4">
        <v>1989.0</v>
      </c>
      <c r="V385" s="1"/>
      <c r="W385" s="1"/>
      <c r="X385" s="4" t="s">
        <v>55</v>
      </c>
      <c r="Y385" s="4" t="s">
        <v>45</v>
      </c>
      <c r="Z385" s="4" t="s">
        <v>47</v>
      </c>
      <c r="AA385" s="4" t="s">
        <v>2196</v>
      </c>
      <c r="AB385" s="4" t="s">
        <v>2197</v>
      </c>
      <c r="AC385" s="4" t="s">
        <v>2198</v>
      </c>
      <c r="AD385" s="4" t="s">
        <v>47</v>
      </c>
      <c r="AE385" s="4" t="s">
        <v>60</v>
      </c>
      <c r="AF385" s="4" t="s">
        <v>60</v>
      </c>
      <c r="AG385" s="4" t="s">
        <v>62</v>
      </c>
      <c r="AH385" s="4">
        <v>7.0</v>
      </c>
      <c r="AI385" s="4">
        <v>8.0</v>
      </c>
      <c r="AJ385" s="4">
        <v>8.0</v>
      </c>
      <c r="AK385" s="1">
        <f t="shared" si="1"/>
        <v>23</v>
      </c>
      <c r="AL385" s="4">
        <v>1.0</v>
      </c>
      <c r="AM385" s="4">
        <v>71.0</v>
      </c>
      <c r="AN385" s="1">
        <f t="shared" si="5"/>
        <v>71</v>
      </c>
      <c r="AO385" s="1">
        <f t="shared" si="6"/>
        <v>1.164084507</v>
      </c>
      <c r="AP385" s="1"/>
    </row>
    <row r="386" ht="12.75" customHeight="1">
      <c r="A386" s="4" t="s">
        <v>1565</v>
      </c>
      <c r="B386" s="4" t="s">
        <v>1566</v>
      </c>
      <c r="C386" s="4" t="s">
        <v>44</v>
      </c>
      <c r="D386" s="4" t="s">
        <v>99</v>
      </c>
      <c r="E386" s="4" t="s">
        <v>180</v>
      </c>
      <c r="F386" s="4" t="s">
        <v>181</v>
      </c>
      <c r="G386" s="4" t="s">
        <v>2199</v>
      </c>
      <c r="H386" s="4" t="s">
        <v>65</v>
      </c>
      <c r="I386" s="4" t="s">
        <v>1810</v>
      </c>
      <c r="J386" s="4">
        <v>21.0</v>
      </c>
      <c r="K386" s="4">
        <v>20.0</v>
      </c>
      <c r="L386" s="4">
        <v>2020.0</v>
      </c>
      <c r="M386" s="4">
        <v>20.0</v>
      </c>
      <c r="N386" s="4">
        <v>5.0</v>
      </c>
      <c r="O386" s="4">
        <v>2025.0</v>
      </c>
      <c r="P386" s="4" t="s">
        <v>105</v>
      </c>
      <c r="Q386" s="4" t="s">
        <v>51</v>
      </c>
      <c r="R386" s="4" t="s">
        <v>52</v>
      </c>
      <c r="S386" s="4" t="s">
        <v>106</v>
      </c>
      <c r="T386" s="4" t="s">
        <v>106</v>
      </c>
      <c r="U386" s="4">
        <v>1980.0</v>
      </c>
      <c r="V386" s="4">
        <v>10.0</v>
      </c>
      <c r="W386" s="4">
        <v>10.0</v>
      </c>
      <c r="X386" s="4" t="s">
        <v>55</v>
      </c>
      <c r="Y386" s="4" t="s">
        <v>99</v>
      </c>
      <c r="Z386" s="4" t="s">
        <v>2200</v>
      </c>
      <c r="AA386" s="4" t="s">
        <v>2200</v>
      </c>
      <c r="AB386" s="4" t="s">
        <v>2200</v>
      </c>
      <c r="AC386" s="4" t="s">
        <v>69</v>
      </c>
      <c r="AD386" s="4" t="s">
        <v>2201</v>
      </c>
      <c r="AE386" s="4" t="s">
        <v>60</v>
      </c>
      <c r="AF386" s="4" t="s">
        <v>1687</v>
      </c>
      <c r="AG386" s="4" t="s">
        <v>62</v>
      </c>
      <c r="AH386" s="4">
        <v>8.0</v>
      </c>
      <c r="AI386" s="4">
        <v>8.0</v>
      </c>
      <c r="AJ386" s="4">
        <v>8.0</v>
      </c>
      <c r="AK386" s="1">
        <f t="shared" si="1"/>
        <v>24</v>
      </c>
      <c r="AL386" s="4">
        <v>1.0</v>
      </c>
      <c r="AM386" s="4">
        <v>237.0</v>
      </c>
      <c r="AN386" s="1">
        <f t="shared" si="5"/>
        <v>237</v>
      </c>
      <c r="AO386" s="1">
        <f t="shared" si="6"/>
        <v>1.204219409</v>
      </c>
      <c r="AP386" s="4" t="s">
        <v>1567</v>
      </c>
    </row>
    <row r="387" ht="12.75" customHeight="1">
      <c r="A387" s="4" t="s">
        <v>924</v>
      </c>
      <c r="B387" s="4" t="s">
        <v>925</v>
      </c>
      <c r="C387" s="4" t="s">
        <v>44</v>
      </c>
      <c r="D387" s="4" t="s">
        <v>99</v>
      </c>
      <c r="E387" s="1" t="s">
        <v>173</v>
      </c>
      <c r="F387" s="4" t="s">
        <v>179</v>
      </c>
      <c r="G387" s="4" t="s">
        <v>925</v>
      </c>
      <c r="H387" s="4" t="s">
        <v>48</v>
      </c>
      <c r="I387" s="4" t="s">
        <v>1684</v>
      </c>
      <c r="J387" s="4">
        <v>21.0</v>
      </c>
      <c r="K387" s="4">
        <v>20.0</v>
      </c>
      <c r="L387" s="4">
        <v>2023.0</v>
      </c>
      <c r="M387" s="4">
        <v>26.0</v>
      </c>
      <c r="N387" s="4">
        <v>5.0</v>
      </c>
      <c r="O387" s="4">
        <v>2025.0</v>
      </c>
      <c r="P387" s="4" t="s">
        <v>105</v>
      </c>
      <c r="Q387" s="4" t="s">
        <v>51</v>
      </c>
      <c r="R387" s="4" t="s">
        <v>52</v>
      </c>
      <c r="S387" s="4" t="s">
        <v>106</v>
      </c>
      <c r="T387" s="4" t="s">
        <v>1710</v>
      </c>
      <c r="U387" s="4">
        <v>2020.0</v>
      </c>
      <c r="V387" s="4">
        <v>2.0</v>
      </c>
      <c r="W387" s="4">
        <v>15.0</v>
      </c>
      <c r="X387" s="4" t="s">
        <v>55</v>
      </c>
      <c r="Y387" s="4" t="s">
        <v>99</v>
      </c>
      <c r="Z387" s="4" t="s">
        <v>179</v>
      </c>
      <c r="AA387" s="4" t="s">
        <v>179</v>
      </c>
      <c r="AB387" s="1" t="s">
        <v>179</v>
      </c>
      <c r="AC387" s="4" t="s">
        <v>2202</v>
      </c>
      <c r="AD387" s="4" t="s">
        <v>2203</v>
      </c>
      <c r="AE387" s="4" t="s">
        <v>60</v>
      </c>
      <c r="AF387" s="4" t="s">
        <v>1687</v>
      </c>
      <c r="AG387" s="4" t="s">
        <v>62</v>
      </c>
      <c r="AH387" s="4">
        <v>8.0</v>
      </c>
      <c r="AI387" s="4">
        <v>8.0</v>
      </c>
      <c r="AJ387" s="4">
        <v>7.0</v>
      </c>
      <c r="AK387" s="1">
        <f t="shared" si="1"/>
        <v>23</v>
      </c>
      <c r="AL387" s="4">
        <v>1.0</v>
      </c>
      <c r="AM387" s="4">
        <v>213.0</v>
      </c>
      <c r="AN387" s="1">
        <f t="shared" si="5"/>
        <v>213</v>
      </c>
      <c r="AO387" s="1">
        <f t="shared" si="6"/>
        <v>1.154694836</v>
      </c>
      <c r="AP387" s="4" t="s">
        <v>926</v>
      </c>
    </row>
    <row r="388" ht="12.75" customHeight="1">
      <c r="A388" s="8" t="s">
        <v>2204</v>
      </c>
      <c r="B388" s="8" t="s">
        <v>2205</v>
      </c>
      <c r="C388" s="4" t="s">
        <v>117</v>
      </c>
      <c r="D388" s="8" t="s">
        <v>45</v>
      </c>
      <c r="E388" s="8" t="s">
        <v>46</v>
      </c>
      <c r="F388" s="8" t="s">
        <v>47</v>
      </c>
      <c r="G388" s="8" t="s">
        <v>2204</v>
      </c>
      <c r="H388" s="8" t="s">
        <v>2206</v>
      </c>
      <c r="I388" s="8" t="s">
        <v>2207</v>
      </c>
      <c r="J388" s="9">
        <v>21.0</v>
      </c>
      <c r="K388" s="9">
        <v>10.0</v>
      </c>
      <c r="L388" s="9">
        <v>2012.0</v>
      </c>
      <c r="M388" s="9">
        <v>28.0</v>
      </c>
      <c r="N388" s="9">
        <v>5.0</v>
      </c>
      <c r="O388" s="9">
        <v>2025.0</v>
      </c>
      <c r="P388" s="8" t="s">
        <v>246</v>
      </c>
      <c r="Q388" s="4" t="s">
        <v>51</v>
      </c>
      <c r="R388" s="8" t="s">
        <v>67</v>
      </c>
      <c r="S388" s="8" t="s">
        <v>2208</v>
      </c>
      <c r="T388" s="4" t="s">
        <v>91</v>
      </c>
      <c r="U388" s="9">
        <v>2012.0</v>
      </c>
      <c r="V388" s="9">
        <v>11.0</v>
      </c>
      <c r="W388" s="8"/>
      <c r="X388" s="4" t="s">
        <v>55</v>
      </c>
      <c r="Y388" s="4" t="s">
        <v>45</v>
      </c>
      <c r="Z388" s="8" t="s">
        <v>47</v>
      </c>
      <c r="AA388" s="8" t="s">
        <v>47</v>
      </c>
      <c r="AB388" s="8" t="s">
        <v>47</v>
      </c>
      <c r="AC388" s="8" t="s">
        <v>261</v>
      </c>
      <c r="AD388" s="8" t="s">
        <v>2209</v>
      </c>
      <c r="AE388" s="8" t="s">
        <v>60</v>
      </c>
      <c r="AF388" s="8" t="s">
        <v>60</v>
      </c>
      <c r="AG388" s="4" t="s">
        <v>62</v>
      </c>
      <c r="AH388" s="9">
        <v>9.0</v>
      </c>
      <c r="AI388" s="9">
        <v>10.0</v>
      </c>
      <c r="AJ388" s="9">
        <v>9.0</v>
      </c>
      <c r="AK388" s="9">
        <f t="shared" si="1"/>
        <v>28</v>
      </c>
      <c r="AL388" s="9">
        <v>1.0</v>
      </c>
      <c r="AM388" s="9">
        <v>32.0</v>
      </c>
      <c r="AN388" s="9">
        <f t="shared" si="5"/>
        <v>32</v>
      </c>
      <c r="AO388" s="9">
        <f>(AH388*5)/100+(AI388*5)/100+(AJ388*5)/100+1/AN388</f>
        <v>1.43125</v>
      </c>
      <c r="AP388" s="1"/>
    </row>
    <row r="389" ht="12.75" customHeight="1">
      <c r="A389" s="4" t="s">
        <v>1433</v>
      </c>
      <c r="B389" s="4" t="s">
        <v>1434</v>
      </c>
      <c r="C389" s="4" t="s">
        <v>44</v>
      </c>
      <c r="D389" s="4" t="s">
        <v>45</v>
      </c>
      <c r="E389" s="4" t="s">
        <v>46</v>
      </c>
      <c r="F389" s="4" t="s">
        <v>47</v>
      </c>
      <c r="G389" s="4" t="s">
        <v>1434</v>
      </c>
      <c r="H389" s="4" t="s">
        <v>48</v>
      </c>
      <c r="I389" s="4" t="s">
        <v>1668</v>
      </c>
      <c r="J389" s="4">
        <v>21.0</v>
      </c>
      <c r="K389" s="4">
        <v>20.0</v>
      </c>
      <c r="L389" s="4">
        <v>2020.0</v>
      </c>
      <c r="M389" s="4">
        <v>2.0</v>
      </c>
      <c r="N389" s="4">
        <v>6.0</v>
      </c>
      <c r="O389" s="4">
        <v>2025.0</v>
      </c>
      <c r="P389" s="4" t="s">
        <v>105</v>
      </c>
      <c r="Q389" s="4" t="s">
        <v>51</v>
      </c>
      <c r="R389" s="4" t="s">
        <v>52</v>
      </c>
      <c r="S389" s="4" t="s">
        <v>292</v>
      </c>
      <c r="T389" s="4" t="s">
        <v>91</v>
      </c>
      <c r="U389" s="4">
        <v>1988.0</v>
      </c>
      <c r="V389" s="1"/>
      <c r="W389" s="1"/>
      <c r="X389" s="4" t="s">
        <v>55</v>
      </c>
      <c r="Y389" s="4" t="s">
        <v>45</v>
      </c>
      <c r="Z389" s="4" t="s">
        <v>47</v>
      </c>
      <c r="AA389" s="8" t="s">
        <v>47</v>
      </c>
      <c r="AB389" s="8" t="s">
        <v>47</v>
      </c>
      <c r="AC389" s="4" t="s">
        <v>2210</v>
      </c>
      <c r="AD389" s="4" t="s">
        <v>47</v>
      </c>
      <c r="AE389" s="4" t="s">
        <v>60</v>
      </c>
      <c r="AF389" s="4" t="s">
        <v>1687</v>
      </c>
      <c r="AG389" s="4" t="s">
        <v>62</v>
      </c>
      <c r="AH389" s="4">
        <v>8.0</v>
      </c>
      <c r="AI389" s="4">
        <v>8.0</v>
      </c>
      <c r="AJ389" s="4">
        <v>8.0</v>
      </c>
      <c r="AK389" s="1">
        <f t="shared" si="1"/>
        <v>24</v>
      </c>
      <c r="AL389" s="4">
        <v>1.0</v>
      </c>
      <c r="AM389" s="4">
        <v>185.0</v>
      </c>
      <c r="AN389" s="1">
        <f t="shared" si="5"/>
        <v>185</v>
      </c>
      <c r="AO389" s="1">
        <f>(AH389*5)/100+(AI389*5)/100+(AJ389*5)/100+1/AN389</f>
        <v>1.205405405</v>
      </c>
      <c r="AP389" s="4" t="s">
        <v>1435</v>
      </c>
    </row>
    <row r="390" ht="12.75" customHeight="1">
      <c r="A390" s="8" t="s">
        <v>2211</v>
      </c>
      <c r="B390" s="8" t="s">
        <v>2212</v>
      </c>
      <c r="C390" s="4" t="s">
        <v>117</v>
      </c>
      <c r="D390" s="8" t="s">
        <v>45</v>
      </c>
      <c r="E390" s="8" t="s">
        <v>46</v>
      </c>
      <c r="F390" s="8" t="s">
        <v>47</v>
      </c>
      <c r="G390" s="8" t="s">
        <v>2212</v>
      </c>
      <c r="H390" s="8" t="s">
        <v>2206</v>
      </c>
      <c r="I390" s="8" t="s">
        <v>2213</v>
      </c>
      <c r="J390" s="9">
        <v>21.0</v>
      </c>
      <c r="K390" s="9">
        <v>0.0</v>
      </c>
      <c r="L390" s="9">
        <v>2006.0</v>
      </c>
      <c r="M390" s="9">
        <v>14.0</v>
      </c>
      <c r="N390" s="9">
        <v>6.0</v>
      </c>
      <c r="O390" s="9">
        <v>2025.0</v>
      </c>
      <c r="P390" s="8" t="s">
        <v>246</v>
      </c>
      <c r="Q390" s="4" t="s">
        <v>132</v>
      </c>
      <c r="R390" s="8" t="s">
        <v>132</v>
      </c>
      <c r="S390" s="8" t="s">
        <v>67</v>
      </c>
      <c r="T390" s="8" t="s">
        <v>2214</v>
      </c>
      <c r="U390" s="9">
        <v>1572.0</v>
      </c>
      <c r="V390" s="8"/>
      <c r="W390" s="8"/>
      <c r="X390" s="4" t="s">
        <v>139</v>
      </c>
      <c r="Y390" s="4" t="s">
        <v>139</v>
      </c>
      <c r="Z390" s="4" t="s">
        <v>139</v>
      </c>
      <c r="AA390" s="4" t="s">
        <v>139</v>
      </c>
      <c r="AB390" s="4" t="s">
        <v>139</v>
      </c>
      <c r="AC390" s="8" t="s">
        <v>465</v>
      </c>
      <c r="AD390" s="8" t="s">
        <v>2203</v>
      </c>
      <c r="AE390" s="8" t="s">
        <v>2215</v>
      </c>
      <c r="AF390" s="8" t="s">
        <v>60</v>
      </c>
      <c r="AG390" s="4" t="s">
        <v>62</v>
      </c>
      <c r="AH390" s="9">
        <v>10.0</v>
      </c>
      <c r="AI390" s="9">
        <v>9.0</v>
      </c>
      <c r="AJ390" s="9">
        <v>10.0</v>
      </c>
      <c r="AK390" s="9">
        <f t="shared" si="1"/>
        <v>29</v>
      </c>
      <c r="AL390" s="9">
        <v>1.0</v>
      </c>
      <c r="AM390" s="9">
        <v>46.0</v>
      </c>
      <c r="AN390" s="9">
        <f t="shared" si="5"/>
        <v>46</v>
      </c>
      <c r="AO390" s="9">
        <f>(AH390*5)/100+(AI390*5)/100+(AJ390*5)/100+1/AN390</f>
        <v>1.47173913</v>
      </c>
      <c r="AP390" s="1"/>
    </row>
    <row r="391" ht="12.75" customHeight="1">
      <c r="A391" s="4" t="s">
        <v>805</v>
      </c>
      <c r="B391" s="4" t="s">
        <v>808</v>
      </c>
      <c r="C391" s="4" t="s">
        <v>44</v>
      </c>
      <c r="D391" s="1" t="s">
        <v>94</v>
      </c>
      <c r="E391" s="1" t="s">
        <v>95</v>
      </c>
      <c r="F391" s="1" t="s">
        <v>116</v>
      </c>
      <c r="G391" s="4" t="s">
        <v>2216</v>
      </c>
      <c r="H391" s="4" t="s">
        <v>48</v>
      </c>
      <c r="I391" s="4" t="s">
        <v>1997</v>
      </c>
      <c r="J391" s="4">
        <v>21.0</v>
      </c>
      <c r="K391" s="4">
        <v>20.0</v>
      </c>
      <c r="L391" s="4">
        <v>2025.0</v>
      </c>
      <c r="M391" s="4">
        <v>17.0</v>
      </c>
      <c r="N391" s="4">
        <v>6.0</v>
      </c>
      <c r="O391" s="4">
        <v>2025.0</v>
      </c>
      <c r="P391" s="4" t="s">
        <v>105</v>
      </c>
      <c r="Q391" s="4" t="s">
        <v>51</v>
      </c>
      <c r="R391" s="4" t="s">
        <v>52</v>
      </c>
      <c r="S391" s="4" t="s">
        <v>289</v>
      </c>
      <c r="T391" s="4" t="s">
        <v>1710</v>
      </c>
      <c r="U391" s="4">
        <v>2022.0</v>
      </c>
      <c r="V391" s="1"/>
      <c r="W391" s="1"/>
      <c r="X391" s="4" t="s">
        <v>55</v>
      </c>
      <c r="Y391" s="4" t="s">
        <v>94</v>
      </c>
      <c r="Z391" s="4" t="s">
        <v>116</v>
      </c>
      <c r="AA391" s="4" t="s">
        <v>1938</v>
      </c>
      <c r="AB391" s="4" t="s">
        <v>1938</v>
      </c>
      <c r="AC391" s="1" t="s">
        <v>465</v>
      </c>
      <c r="AD391" s="4" t="s">
        <v>1753</v>
      </c>
      <c r="AE391" s="1" t="s">
        <v>60</v>
      </c>
      <c r="AF391" s="4" t="s">
        <v>1687</v>
      </c>
      <c r="AG391" s="4" t="s">
        <v>62</v>
      </c>
      <c r="AH391" s="4">
        <v>8.0</v>
      </c>
      <c r="AI391" s="4">
        <v>9.0</v>
      </c>
      <c r="AJ391" s="4">
        <v>8.0</v>
      </c>
      <c r="AK391" s="1">
        <f t="shared" si="1"/>
        <v>25</v>
      </c>
      <c r="AL391" s="1">
        <v>1.0</v>
      </c>
      <c r="AM391" s="4">
        <v>537.0</v>
      </c>
      <c r="AN391" s="1">
        <f t="shared" si="5"/>
        <v>537</v>
      </c>
      <c r="AO391" s="1">
        <f t="shared" ref="AO391:AO392" si="7">(AH391*5)/100+(AI391*5)/100+(AJ391*5)/100+1/AN391</f>
        <v>1.251862197</v>
      </c>
      <c r="AP391" s="4" t="s">
        <v>809</v>
      </c>
    </row>
    <row r="392" ht="12.75" customHeight="1">
      <c r="A392" s="4" t="s">
        <v>1376</v>
      </c>
      <c r="B392" s="4" t="s">
        <v>1379</v>
      </c>
      <c r="C392" s="4" t="s">
        <v>44</v>
      </c>
      <c r="D392" s="4" t="s">
        <v>45</v>
      </c>
      <c r="E392" s="4" t="s">
        <v>46</v>
      </c>
      <c r="F392" s="4" t="s">
        <v>129</v>
      </c>
      <c r="G392" s="4" t="s">
        <v>2217</v>
      </c>
      <c r="H392" s="4" t="s">
        <v>65</v>
      </c>
      <c r="I392" s="4" t="s">
        <v>486</v>
      </c>
      <c r="J392" s="4">
        <v>20.0</v>
      </c>
      <c r="K392" s="4">
        <v>60.0</v>
      </c>
      <c r="L392" s="4">
        <v>1967.0</v>
      </c>
      <c r="M392" s="4">
        <v>20.0</v>
      </c>
      <c r="N392" s="4">
        <v>6.0</v>
      </c>
      <c r="O392" s="4">
        <v>2025.0</v>
      </c>
      <c r="P392" s="4" t="s">
        <v>246</v>
      </c>
      <c r="Q392" s="4" t="s">
        <v>51</v>
      </c>
      <c r="R392" s="4" t="s">
        <v>274</v>
      </c>
      <c r="S392" s="4" t="s">
        <v>269</v>
      </c>
      <c r="T392" s="4" t="s">
        <v>508</v>
      </c>
      <c r="U392" s="4">
        <v>1853.0</v>
      </c>
      <c r="V392" s="4">
        <v>7.0</v>
      </c>
      <c r="W392" s="4">
        <v>25.0</v>
      </c>
      <c r="X392" s="4" t="s">
        <v>55</v>
      </c>
      <c r="Y392" s="4" t="s">
        <v>45</v>
      </c>
      <c r="Z392" s="4" t="s">
        <v>126</v>
      </c>
      <c r="AA392" s="1" t="s">
        <v>1674</v>
      </c>
      <c r="AB392" s="1" t="s">
        <v>1674</v>
      </c>
      <c r="AC392" s="4" t="s">
        <v>1781</v>
      </c>
      <c r="AD392" s="4" t="s">
        <v>2218</v>
      </c>
      <c r="AE392" s="4" t="s">
        <v>60</v>
      </c>
      <c r="AF392" s="4" t="s">
        <v>60</v>
      </c>
      <c r="AG392" s="4" t="s">
        <v>62</v>
      </c>
      <c r="AH392" s="4">
        <v>7.0</v>
      </c>
      <c r="AI392" s="4">
        <v>7.0</v>
      </c>
      <c r="AJ392" s="1">
        <v>6.0</v>
      </c>
      <c r="AK392" s="1">
        <f t="shared" si="1"/>
        <v>20</v>
      </c>
      <c r="AL392" s="1">
        <v>1.0</v>
      </c>
      <c r="AM392" s="4">
        <v>160.0</v>
      </c>
      <c r="AN392" s="1">
        <f t="shared" si="5"/>
        <v>160</v>
      </c>
      <c r="AO392" s="1">
        <f t="shared" si="7"/>
        <v>1.00625</v>
      </c>
      <c r="AP392" s="4" t="s">
        <v>1380</v>
      </c>
    </row>
    <row r="393" ht="12.75" customHeight="1">
      <c r="A393" s="8" t="s">
        <v>2219</v>
      </c>
      <c r="B393" s="8" t="s">
        <v>2220</v>
      </c>
      <c r="C393" s="4" t="s">
        <v>117</v>
      </c>
      <c r="D393" s="8" t="s">
        <v>45</v>
      </c>
      <c r="E393" s="8" t="s">
        <v>46</v>
      </c>
      <c r="F393" s="8" t="s">
        <v>47</v>
      </c>
      <c r="G393" s="8" t="s">
        <v>2220</v>
      </c>
      <c r="H393" s="8" t="s">
        <v>2206</v>
      </c>
      <c r="I393" s="8" t="s">
        <v>2221</v>
      </c>
      <c r="J393" s="9">
        <v>21.0</v>
      </c>
      <c r="K393" s="9">
        <v>10.0</v>
      </c>
      <c r="L393" s="9">
        <v>2014.0</v>
      </c>
      <c r="M393" s="9">
        <v>23.0</v>
      </c>
      <c r="N393" s="9">
        <v>6.0</v>
      </c>
      <c r="O393" s="9">
        <v>2025.0</v>
      </c>
      <c r="P393" s="8" t="s">
        <v>246</v>
      </c>
      <c r="Q393" s="4" t="s">
        <v>51</v>
      </c>
      <c r="R393" s="8" t="s">
        <v>67</v>
      </c>
      <c r="S393" s="8" t="s">
        <v>2208</v>
      </c>
      <c r="T393" s="4" t="s">
        <v>106</v>
      </c>
      <c r="U393" s="9">
        <v>2014.0</v>
      </c>
      <c r="V393" s="8"/>
      <c r="W393" s="8"/>
      <c r="X393" s="4" t="s">
        <v>30</v>
      </c>
      <c r="Y393" s="4" t="s">
        <v>30</v>
      </c>
      <c r="Z393" s="8" t="s">
        <v>68</v>
      </c>
      <c r="AA393" s="8" t="s">
        <v>68</v>
      </c>
      <c r="AB393" s="8" t="s">
        <v>68</v>
      </c>
      <c r="AC393" s="8" t="s">
        <v>69</v>
      </c>
      <c r="AD393" s="8" t="s">
        <v>2209</v>
      </c>
      <c r="AE393" s="8" t="s">
        <v>60</v>
      </c>
      <c r="AF393" s="8" t="s">
        <v>60</v>
      </c>
      <c r="AG393" s="4" t="s">
        <v>62</v>
      </c>
      <c r="AH393" s="9">
        <v>9.0</v>
      </c>
      <c r="AI393" s="9">
        <v>9.0</v>
      </c>
      <c r="AJ393" s="9">
        <v>9.0</v>
      </c>
      <c r="AK393" s="9">
        <f t="shared" si="1"/>
        <v>27</v>
      </c>
      <c r="AL393" s="9">
        <v>1.0</v>
      </c>
      <c r="AM393" s="9">
        <v>25.0</v>
      </c>
      <c r="AN393" s="9">
        <f t="shared" si="5"/>
        <v>25</v>
      </c>
      <c r="AO393" s="9">
        <f t="shared" ref="AO393:AO394" si="8">(AH393*5)/100+(AI393*5)/100+(AJ393*5)/100+1/AN393</f>
        <v>1.39</v>
      </c>
      <c r="AP393" s="1"/>
    </row>
    <row r="394" ht="12.75" customHeight="1">
      <c r="A394" s="8" t="s">
        <v>2222</v>
      </c>
      <c r="B394" s="8" t="s">
        <v>2223</v>
      </c>
      <c r="C394" s="4" t="s">
        <v>117</v>
      </c>
      <c r="D394" s="8" t="s">
        <v>45</v>
      </c>
      <c r="E394" s="8" t="s">
        <v>46</v>
      </c>
      <c r="F394" s="8" t="s">
        <v>47</v>
      </c>
      <c r="G394" s="8" t="s">
        <v>2223</v>
      </c>
      <c r="H394" s="8" t="s">
        <v>2206</v>
      </c>
      <c r="I394" s="8" t="s">
        <v>1741</v>
      </c>
      <c r="J394" s="9">
        <v>21.0</v>
      </c>
      <c r="K394" s="9">
        <v>10.0</v>
      </c>
      <c r="L394" s="9">
        <v>2014.0</v>
      </c>
      <c r="M394" s="9">
        <v>23.0</v>
      </c>
      <c r="N394" s="9">
        <v>6.0</v>
      </c>
      <c r="O394" s="9">
        <v>2025.0</v>
      </c>
      <c r="P394" s="8" t="s">
        <v>246</v>
      </c>
      <c r="Q394" s="4" t="s">
        <v>51</v>
      </c>
      <c r="R394" s="8" t="s">
        <v>67</v>
      </c>
      <c r="S394" s="8" t="s">
        <v>2208</v>
      </c>
      <c r="T394" s="4" t="s">
        <v>91</v>
      </c>
      <c r="U394" s="9">
        <v>2014.0</v>
      </c>
      <c r="V394" s="8"/>
      <c r="W394" s="8"/>
      <c r="X394" s="4" t="s">
        <v>55</v>
      </c>
      <c r="Y394" s="4" t="s">
        <v>45</v>
      </c>
      <c r="Z394" s="8" t="s">
        <v>47</v>
      </c>
      <c r="AA394" s="8" t="s">
        <v>47</v>
      </c>
      <c r="AB394" s="8" t="s">
        <v>47</v>
      </c>
      <c r="AC394" s="8" t="s">
        <v>58</v>
      </c>
      <c r="AD394" s="8" t="s">
        <v>2209</v>
      </c>
      <c r="AE394" s="8" t="s">
        <v>60</v>
      </c>
      <c r="AF394" s="8" t="s">
        <v>60</v>
      </c>
      <c r="AG394" s="4" t="s">
        <v>62</v>
      </c>
      <c r="AH394" s="9">
        <v>9.0</v>
      </c>
      <c r="AI394" s="9">
        <v>9.0</v>
      </c>
      <c r="AJ394" s="9">
        <v>9.0</v>
      </c>
      <c r="AK394" s="9">
        <f t="shared" si="1"/>
        <v>27</v>
      </c>
      <c r="AL394" s="9">
        <v>1.0</v>
      </c>
      <c r="AM394" s="9">
        <v>32.0</v>
      </c>
      <c r="AN394" s="9">
        <f t="shared" si="5"/>
        <v>32</v>
      </c>
      <c r="AO394" s="9">
        <f t="shared" si="8"/>
        <v>1.38125</v>
      </c>
      <c r="AP394" s="1"/>
    </row>
    <row r="395" ht="12.75" customHeight="1">
      <c r="A395" s="4" t="s">
        <v>1253</v>
      </c>
      <c r="B395" s="4" t="s">
        <v>1254</v>
      </c>
      <c r="C395" s="4" t="s">
        <v>44</v>
      </c>
      <c r="D395" s="4" t="s">
        <v>148</v>
      </c>
      <c r="E395" s="1" t="s">
        <v>153</v>
      </c>
      <c r="F395" s="1" t="s">
        <v>159</v>
      </c>
      <c r="G395" s="4" t="s">
        <v>2224</v>
      </c>
      <c r="H395" s="4" t="s">
        <v>48</v>
      </c>
      <c r="I395" s="4" t="s">
        <v>1668</v>
      </c>
      <c r="J395" s="4">
        <v>20.0</v>
      </c>
      <c r="K395" s="4">
        <v>80.0</v>
      </c>
      <c r="L395" s="4">
        <v>1984.0</v>
      </c>
      <c r="M395" s="4">
        <v>25.0</v>
      </c>
      <c r="N395" s="4">
        <v>6.0</v>
      </c>
      <c r="O395" s="4">
        <v>2025.0</v>
      </c>
      <c r="P395" s="4" t="s">
        <v>105</v>
      </c>
      <c r="Q395" s="4" t="s">
        <v>51</v>
      </c>
      <c r="R395" s="4" t="s">
        <v>52</v>
      </c>
      <c r="S395" s="4" t="s">
        <v>290</v>
      </c>
      <c r="T395" s="4" t="s">
        <v>2225</v>
      </c>
      <c r="U395" s="4">
        <v>1929.0</v>
      </c>
      <c r="V395" s="1"/>
      <c r="W395" s="1"/>
      <c r="X395" s="4" t="s">
        <v>55</v>
      </c>
      <c r="Y395" s="4" t="s">
        <v>148</v>
      </c>
      <c r="Z395" s="4" t="s">
        <v>159</v>
      </c>
      <c r="AA395" s="4" t="s">
        <v>2226</v>
      </c>
      <c r="AB395" s="4" t="s">
        <v>2226</v>
      </c>
      <c r="AC395" s="4" t="s">
        <v>69</v>
      </c>
      <c r="AD395" s="4" t="s">
        <v>2060</v>
      </c>
      <c r="AE395" s="4" t="s">
        <v>60</v>
      </c>
      <c r="AF395" s="4" t="s">
        <v>1687</v>
      </c>
      <c r="AG395" s="4" t="s">
        <v>62</v>
      </c>
      <c r="AH395" s="4">
        <v>7.0</v>
      </c>
      <c r="AI395" s="4">
        <v>8.0</v>
      </c>
      <c r="AJ395" s="4">
        <v>7.0</v>
      </c>
      <c r="AK395" s="1">
        <f t="shared" si="1"/>
        <v>22</v>
      </c>
      <c r="AL395" s="1">
        <v>1.0</v>
      </c>
      <c r="AM395" s="4">
        <v>125.0</v>
      </c>
      <c r="AN395" s="1">
        <f t="shared" si="5"/>
        <v>125</v>
      </c>
      <c r="AO395" s="1">
        <f>(AH395*5)/100+(AI395*5)/100+(AJ395*5)/100+1/AN395</f>
        <v>1.108</v>
      </c>
      <c r="AP395" s="4" t="s">
        <v>1255</v>
      </c>
    </row>
    <row r="396" ht="12.75" customHeight="1">
      <c r="A396" s="8" t="s">
        <v>2227</v>
      </c>
      <c r="B396" s="8" t="s">
        <v>2228</v>
      </c>
      <c r="C396" s="4" t="s">
        <v>117</v>
      </c>
      <c r="D396" s="8" t="s">
        <v>212</v>
      </c>
      <c r="E396" s="8" t="s">
        <v>212</v>
      </c>
      <c r="F396" s="8" t="s">
        <v>213</v>
      </c>
      <c r="G396" s="8" t="s">
        <v>2229</v>
      </c>
      <c r="H396" s="8" t="s">
        <v>2206</v>
      </c>
      <c r="I396" s="8" t="s">
        <v>2230</v>
      </c>
      <c r="J396" s="9">
        <v>21.0</v>
      </c>
      <c r="K396" s="9">
        <v>10.0</v>
      </c>
      <c r="L396" s="9">
        <v>2015.0</v>
      </c>
      <c r="M396" s="9">
        <v>26.0</v>
      </c>
      <c r="N396" s="9">
        <v>6.0</v>
      </c>
      <c r="O396" s="9">
        <v>2025.0</v>
      </c>
      <c r="P396" s="8" t="s">
        <v>105</v>
      </c>
      <c r="Q396" s="4" t="s">
        <v>51</v>
      </c>
      <c r="R396" s="11" t="s">
        <v>52</v>
      </c>
      <c r="S396" s="8" t="s">
        <v>67</v>
      </c>
      <c r="T396" s="4" t="s">
        <v>106</v>
      </c>
      <c r="U396" s="9">
        <v>2015.0</v>
      </c>
      <c r="V396" s="8"/>
      <c r="W396" s="8"/>
      <c r="X396" s="4" t="s">
        <v>30</v>
      </c>
      <c r="Y396" s="4" t="s">
        <v>30</v>
      </c>
      <c r="Z396" s="8" t="s">
        <v>68</v>
      </c>
      <c r="AA396" s="11" t="s">
        <v>2231</v>
      </c>
      <c r="AB396" s="8" t="s">
        <v>2231</v>
      </c>
      <c r="AC396" s="8" t="s">
        <v>58</v>
      </c>
      <c r="AD396" s="8" t="s">
        <v>60</v>
      </c>
      <c r="AE396" s="8" t="s">
        <v>60</v>
      </c>
      <c r="AF396" s="8" t="s">
        <v>2232</v>
      </c>
      <c r="AG396" s="4" t="s">
        <v>62</v>
      </c>
      <c r="AH396" s="9">
        <v>10.0</v>
      </c>
      <c r="AI396" s="9">
        <v>10.0</v>
      </c>
      <c r="AJ396" s="9">
        <v>10.0</v>
      </c>
      <c r="AK396" s="9">
        <f t="shared" si="1"/>
        <v>30</v>
      </c>
      <c r="AL396" s="9">
        <v>1.0</v>
      </c>
      <c r="AM396" s="9">
        <v>245.0</v>
      </c>
      <c r="AN396" s="9">
        <f t="shared" si="5"/>
        <v>245</v>
      </c>
      <c r="AO396" s="9">
        <f>(AH396*5)/100+(AI396*5)/100+(AJ396*5)/100+1/AN396</f>
        <v>1.504081633</v>
      </c>
      <c r="AP396" s="1"/>
    </row>
    <row r="397" ht="12.75" customHeight="1">
      <c r="A397" s="4" t="s">
        <v>1182</v>
      </c>
      <c r="B397" s="4" t="s">
        <v>1183</v>
      </c>
      <c r="C397" s="4" t="s">
        <v>44</v>
      </c>
      <c r="D397" s="4" t="s">
        <v>45</v>
      </c>
      <c r="E397" s="4" t="s">
        <v>46</v>
      </c>
      <c r="F397" s="4" t="s">
        <v>47</v>
      </c>
      <c r="G397" s="4" t="s">
        <v>1183</v>
      </c>
      <c r="H397" s="12" t="s">
        <v>2113</v>
      </c>
      <c r="I397" s="4" t="s">
        <v>2233</v>
      </c>
      <c r="J397" s="4">
        <v>20.0</v>
      </c>
      <c r="K397" s="4">
        <v>20.0</v>
      </c>
      <c r="L397" s="4">
        <v>2025.0</v>
      </c>
      <c r="M397" s="4">
        <v>28.0</v>
      </c>
      <c r="N397" s="4">
        <v>6.0</v>
      </c>
      <c r="O397" s="4">
        <v>2025.0</v>
      </c>
      <c r="P397" s="4" t="s">
        <v>105</v>
      </c>
      <c r="Q397" s="4" t="s">
        <v>132</v>
      </c>
      <c r="R397" s="4" t="s">
        <v>132</v>
      </c>
      <c r="S397" s="4" t="s">
        <v>106</v>
      </c>
      <c r="T397" s="4" t="s">
        <v>2147</v>
      </c>
      <c r="U397" s="4">
        <v>2025.0</v>
      </c>
      <c r="V397" s="1"/>
      <c r="W397" s="1"/>
      <c r="X397" s="4" t="s">
        <v>55</v>
      </c>
      <c r="Y397" s="4" t="s">
        <v>45</v>
      </c>
      <c r="Z397" s="4" t="s">
        <v>47</v>
      </c>
      <c r="AA397" s="8" t="s">
        <v>47</v>
      </c>
      <c r="AB397" s="8" t="s">
        <v>47</v>
      </c>
      <c r="AC397" s="4" t="s">
        <v>2234</v>
      </c>
      <c r="AD397" s="4" t="s">
        <v>47</v>
      </c>
      <c r="AE397" s="4" t="s">
        <v>60</v>
      </c>
      <c r="AF397" s="4" t="s">
        <v>1687</v>
      </c>
      <c r="AG397" s="4" t="s">
        <v>62</v>
      </c>
      <c r="AH397" s="4">
        <v>6.0</v>
      </c>
      <c r="AI397" s="4">
        <v>7.0</v>
      </c>
      <c r="AJ397" s="4">
        <v>8.0</v>
      </c>
      <c r="AK397" s="1">
        <f t="shared" si="1"/>
        <v>21</v>
      </c>
      <c r="AL397" s="1">
        <v>1.0</v>
      </c>
      <c r="AM397" s="4">
        <v>10.0</v>
      </c>
      <c r="AN397" s="1">
        <f t="shared" si="5"/>
        <v>10</v>
      </c>
      <c r="AO397" s="1">
        <f>(AH397*5)/100+(AI397*5)/100+(AJ397*5)/100+1/AN397</f>
        <v>1.15</v>
      </c>
      <c r="AP397" s="1"/>
    </row>
    <row r="398" ht="12.75" customHeight="1">
      <c r="A398" s="8" t="s">
        <v>2235</v>
      </c>
      <c r="B398" s="8" t="s">
        <v>2236</v>
      </c>
      <c r="C398" s="4" t="s">
        <v>117</v>
      </c>
      <c r="D398" s="8" t="s">
        <v>45</v>
      </c>
      <c r="E398" s="8" t="s">
        <v>46</v>
      </c>
      <c r="F398" s="8" t="s">
        <v>47</v>
      </c>
      <c r="G398" s="8" t="s">
        <v>2236</v>
      </c>
      <c r="H398" s="8" t="s">
        <v>65</v>
      </c>
      <c r="I398" s="8" t="s">
        <v>2237</v>
      </c>
      <c r="J398" s="9">
        <v>21.0</v>
      </c>
      <c r="K398" s="9">
        <v>20.0</v>
      </c>
      <c r="L398" s="9">
        <v>2020.0</v>
      </c>
      <c r="M398" s="9">
        <v>1.0</v>
      </c>
      <c r="N398" s="9">
        <v>7.0</v>
      </c>
      <c r="O398" s="9">
        <v>2025.0</v>
      </c>
      <c r="P398" s="8" t="s">
        <v>105</v>
      </c>
      <c r="Q398" s="4" t="s">
        <v>51</v>
      </c>
      <c r="R398" s="8" t="s">
        <v>67</v>
      </c>
      <c r="S398" s="8" t="s">
        <v>2208</v>
      </c>
      <c r="T398" s="4" t="s">
        <v>106</v>
      </c>
      <c r="U398" s="9">
        <v>1900.0</v>
      </c>
      <c r="V398" s="8"/>
      <c r="W398" s="8"/>
      <c r="X398" s="4" t="s">
        <v>30</v>
      </c>
      <c r="Y398" s="4" t="s">
        <v>30</v>
      </c>
      <c r="Z398" s="8" t="s">
        <v>68</v>
      </c>
      <c r="AA398" s="8" t="s">
        <v>2238</v>
      </c>
      <c r="AB398" s="8" t="s">
        <v>2239</v>
      </c>
      <c r="AC398" s="8" t="s">
        <v>58</v>
      </c>
      <c r="AD398" s="8" t="s">
        <v>2240</v>
      </c>
      <c r="AE398" s="8" t="s">
        <v>60</v>
      </c>
      <c r="AF398" s="8" t="s">
        <v>60</v>
      </c>
      <c r="AG398" s="4" t="s">
        <v>62</v>
      </c>
      <c r="AH398" s="9">
        <v>10.0</v>
      </c>
      <c r="AI398" s="9">
        <v>10.0</v>
      </c>
      <c r="AJ398" s="9">
        <v>10.0</v>
      </c>
      <c r="AK398" s="9">
        <f t="shared" si="1"/>
        <v>30</v>
      </c>
      <c r="AL398" s="9">
        <v>1.0</v>
      </c>
      <c r="AM398" s="9">
        <v>44.0</v>
      </c>
      <c r="AN398" s="9">
        <f t="shared" si="5"/>
        <v>44</v>
      </c>
      <c r="AO398" s="9">
        <f>(AH398*5)/100+(AI398*5)/100+(AJ398*5)/100+1/AN398</f>
        <v>1.522727273</v>
      </c>
      <c r="AP398" s="1"/>
    </row>
    <row r="399" ht="12.75" customHeight="1">
      <c r="A399" s="4" t="s">
        <v>1293</v>
      </c>
      <c r="B399" s="4" t="s">
        <v>1294</v>
      </c>
      <c r="C399" s="4" t="s">
        <v>44</v>
      </c>
      <c r="D399" s="4" t="s">
        <v>148</v>
      </c>
      <c r="E399" s="4" t="s">
        <v>153</v>
      </c>
      <c r="F399" s="4" t="s">
        <v>158</v>
      </c>
      <c r="G399" s="4" t="s">
        <v>2241</v>
      </c>
      <c r="H399" s="4" t="s">
        <v>65</v>
      </c>
      <c r="I399" s="4" t="s">
        <v>1863</v>
      </c>
      <c r="J399" s="4">
        <v>21.0</v>
      </c>
      <c r="K399" s="4">
        <v>0.0</v>
      </c>
      <c r="L399" s="4">
        <v>2000.0</v>
      </c>
      <c r="M399" s="4">
        <v>3.0</v>
      </c>
      <c r="N399" s="4">
        <v>7.0</v>
      </c>
      <c r="O399" s="4">
        <v>2025.0</v>
      </c>
      <c r="P399" s="4" t="s">
        <v>105</v>
      </c>
      <c r="Q399" s="4" t="s">
        <v>51</v>
      </c>
      <c r="R399" s="4" t="s">
        <v>136</v>
      </c>
      <c r="S399" s="4" t="s">
        <v>138</v>
      </c>
      <c r="T399" s="4" t="s">
        <v>2242</v>
      </c>
      <c r="U399" s="4">
        <v>1969.0</v>
      </c>
      <c r="V399" s="4">
        <v>4.0</v>
      </c>
      <c r="W399" s="4">
        <v>15.0</v>
      </c>
      <c r="X399" s="4" t="s">
        <v>55</v>
      </c>
      <c r="Y399" s="4" t="s">
        <v>148</v>
      </c>
      <c r="Z399" s="4" t="s">
        <v>2243</v>
      </c>
      <c r="AA399" s="4" t="s">
        <v>2243</v>
      </c>
      <c r="AB399" s="4" t="s">
        <v>2244</v>
      </c>
      <c r="AC399" s="4" t="s">
        <v>1742</v>
      </c>
      <c r="AD399" s="4" t="s">
        <v>2245</v>
      </c>
      <c r="AE399" s="4" t="s">
        <v>60</v>
      </c>
      <c r="AF399" s="4" t="s">
        <v>1687</v>
      </c>
      <c r="AG399" s="4" t="s">
        <v>62</v>
      </c>
      <c r="AH399" s="4">
        <v>9.0</v>
      </c>
      <c r="AI399" s="4">
        <v>9.0</v>
      </c>
      <c r="AJ399" s="4">
        <v>8.0</v>
      </c>
      <c r="AK399" s="1">
        <f t="shared" si="1"/>
        <v>26</v>
      </c>
      <c r="AL399" s="1">
        <v>1.0</v>
      </c>
      <c r="AM399" s="4">
        <v>182.0</v>
      </c>
      <c r="AN399" s="1">
        <f t="shared" si="5"/>
        <v>182</v>
      </c>
      <c r="AO399" s="1">
        <f t="shared" ref="AO399:AO403" si="9">(AH399*5)/100+(AI399*5)/100+(AJ399*5)/100+1/AN399</f>
        <v>1.305494505</v>
      </c>
      <c r="AP399" s="4" t="s">
        <v>1295</v>
      </c>
    </row>
    <row r="400" ht="12.75" customHeight="1">
      <c r="A400" s="4" t="s">
        <v>1109</v>
      </c>
      <c r="B400" s="4" t="s">
        <v>1110</v>
      </c>
      <c r="C400" s="4" t="s">
        <v>44</v>
      </c>
      <c r="D400" s="4" t="s">
        <v>45</v>
      </c>
      <c r="E400" s="4" t="s">
        <v>46</v>
      </c>
      <c r="F400" s="4" t="s">
        <v>47</v>
      </c>
      <c r="G400" s="4" t="s">
        <v>1110</v>
      </c>
      <c r="H400" s="4" t="s">
        <v>65</v>
      </c>
      <c r="I400" s="4" t="s">
        <v>2246</v>
      </c>
      <c r="J400" s="4">
        <v>20.0</v>
      </c>
      <c r="K400" s="4">
        <v>60.0</v>
      </c>
      <c r="L400" s="4">
        <v>1969.0</v>
      </c>
      <c r="M400" s="4">
        <v>5.0</v>
      </c>
      <c r="N400" s="4">
        <v>7.0</v>
      </c>
      <c r="O400" s="4">
        <v>2025.0</v>
      </c>
      <c r="P400" s="4" t="s">
        <v>246</v>
      </c>
      <c r="Q400" s="4" t="s">
        <v>51</v>
      </c>
      <c r="R400" s="4" t="s">
        <v>223</v>
      </c>
      <c r="S400" s="4" t="s">
        <v>288</v>
      </c>
      <c r="T400" s="4" t="s">
        <v>75</v>
      </c>
      <c r="U400" s="4">
        <v>1969.0</v>
      </c>
      <c r="V400" s="1"/>
      <c r="W400" s="1"/>
      <c r="X400" s="4" t="s">
        <v>55</v>
      </c>
      <c r="Y400" s="4" t="s">
        <v>45</v>
      </c>
      <c r="Z400" s="4" t="s">
        <v>47</v>
      </c>
      <c r="AA400" s="4" t="s">
        <v>47</v>
      </c>
      <c r="AB400" s="4" t="s">
        <v>47</v>
      </c>
      <c r="AC400" s="4" t="s">
        <v>2247</v>
      </c>
      <c r="AD400" s="4" t="s">
        <v>47</v>
      </c>
      <c r="AE400" s="4" t="s">
        <v>60</v>
      </c>
      <c r="AF400" s="4" t="s">
        <v>60</v>
      </c>
      <c r="AG400" s="4" t="s">
        <v>62</v>
      </c>
      <c r="AH400" s="4">
        <v>7.0</v>
      </c>
      <c r="AI400" s="4">
        <v>7.0</v>
      </c>
      <c r="AJ400" s="4">
        <v>8.0</v>
      </c>
      <c r="AK400" s="1">
        <f t="shared" si="1"/>
        <v>22</v>
      </c>
      <c r="AL400" s="1">
        <v>1.0</v>
      </c>
      <c r="AM400" s="4">
        <v>98.0</v>
      </c>
      <c r="AN400" s="1">
        <f t="shared" si="5"/>
        <v>98</v>
      </c>
      <c r="AO400" s="1">
        <f t="shared" si="9"/>
        <v>1.110204082</v>
      </c>
      <c r="AP400" s="1"/>
    </row>
    <row r="401" ht="12.75" customHeight="1">
      <c r="A401" s="4" t="s">
        <v>939</v>
      </c>
      <c r="B401" s="4" t="s">
        <v>940</v>
      </c>
      <c r="C401" s="4" t="s">
        <v>44</v>
      </c>
      <c r="D401" s="4" t="s">
        <v>45</v>
      </c>
      <c r="E401" s="4" t="s">
        <v>124</v>
      </c>
      <c r="F401" s="4" t="s">
        <v>126</v>
      </c>
      <c r="G401" s="4" t="s">
        <v>2248</v>
      </c>
      <c r="H401" s="4" t="s">
        <v>48</v>
      </c>
      <c r="I401" s="4" t="s">
        <v>428</v>
      </c>
      <c r="J401" s="4">
        <v>21.0</v>
      </c>
      <c r="K401" s="4">
        <v>20.0</v>
      </c>
      <c r="L401" s="4">
        <v>2024.0</v>
      </c>
      <c r="M401" s="4">
        <v>10.0</v>
      </c>
      <c r="N401" s="4">
        <v>7.0</v>
      </c>
      <c r="O401" s="4">
        <v>2025.0</v>
      </c>
      <c r="P401" s="4" t="s">
        <v>105</v>
      </c>
      <c r="Q401" s="4" t="s">
        <v>51</v>
      </c>
      <c r="R401" s="4" t="s">
        <v>52</v>
      </c>
      <c r="S401" s="4" t="s">
        <v>270</v>
      </c>
      <c r="T401" s="4" t="s">
        <v>2147</v>
      </c>
      <c r="U401" s="4">
        <v>2024.0</v>
      </c>
      <c r="V401" s="1"/>
      <c r="W401" s="1"/>
      <c r="X401" s="4" t="s">
        <v>55</v>
      </c>
      <c r="Y401" s="4" t="s">
        <v>45</v>
      </c>
      <c r="Z401" s="4" t="s">
        <v>126</v>
      </c>
      <c r="AA401" s="4" t="s">
        <v>739</v>
      </c>
      <c r="AB401" s="4" t="s">
        <v>2249</v>
      </c>
      <c r="AC401" s="4" t="s">
        <v>1209</v>
      </c>
      <c r="AD401" s="4" t="s">
        <v>1873</v>
      </c>
      <c r="AE401" s="4" t="s">
        <v>60</v>
      </c>
      <c r="AF401" s="4" t="s">
        <v>1687</v>
      </c>
      <c r="AG401" s="4" t="s">
        <v>62</v>
      </c>
      <c r="AH401" s="4">
        <v>8.0</v>
      </c>
      <c r="AI401" s="4">
        <v>7.0</v>
      </c>
      <c r="AJ401" s="4">
        <v>9.0</v>
      </c>
      <c r="AK401" s="1">
        <f t="shared" si="1"/>
        <v>24</v>
      </c>
      <c r="AL401" s="1">
        <v>1.0</v>
      </c>
      <c r="AM401" s="4">
        <v>350.0</v>
      </c>
      <c r="AN401" s="1">
        <f t="shared" si="5"/>
        <v>350</v>
      </c>
      <c r="AO401" s="1">
        <f t="shared" si="9"/>
        <v>1.202857143</v>
      </c>
      <c r="AP401" s="4" t="s">
        <v>941</v>
      </c>
    </row>
    <row r="402" ht="12.75" customHeight="1">
      <c r="A402" s="4" t="s">
        <v>955</v>
      </c>
      <c r="B402" s="4" t="s">
        <v>956</v>
      </c>
      <c r="C402" s="4" t="s">
        <v>44</v>
      </c>
      <c r="D402" s="4" t="s">
        <v>45</v>
      </c>
      <c r="E402" s="4" t="s">
        <v>124</v>
      </c>
      <c r="F402" s="4" t="s">
        <v>126</v>
      </c>
      <c r="G402" s="4" t="s">
        <v>956</v>
      </c>
      <c r="H402" s="4" t="s">
        <v>48</v>
      </c>
      <c r="I402" s="4" t="s">
        <v>2117</v>
      </c>
      <c r="J402" s="4">
        <v>20.0</v>
      </c>
      <c r="K402" s="4">
        <v>70.0</v>
      </c>
      <c r="L402" s="4">
        <v>1975.0</v>
      </c>
      <c r="M402" s="4">
        <v>15.0</v>
      </c>
      <c r="N402" s="4">
        <v>7.0</v>
      </c>
      <c r="O402" s="4">
        <v>2025.0</v>
      </c>
      <c r="P402" s="4" t="s">
        <v>105</v>
      </c>
      <c r="Q402" s="4" t="s">
        <v>51</v>
      </c>
      <c r="R402" s="4" t="s">
        <v>52</v>
      </c>
      <c r="S402" s="4" t="s">
        <v>268</v>
      </c>
      <c r="T402" s="4" t="s">
        <v>526</v>
      </c>
      <c r="U402" s="4">
        <v>1975.0</v>
      </c>
      <c r="V402" s="1"/>
      <c r="W402" s="1"/>
      <c r="X402" s="4" t="s">
        <v>55</v>
      </c>
      <c r="Y402" s="4" t="s">
        <v>45</v>
      </c>
      <c r="Z402" s="4" t="s">
        <v>126</v>
      </c>
      <c r="AA402" s="4" t="s">
        <v>2250</v>
      </c>
      <c r="AB402" s="4" t="s">
        <v>2251</v>
      </c>
      <c r="AC402" s="4" t="s">
        <v>1781</v>
      </c>
      <c r="AD402" s="4" t="s">
        <v>2252</v>
      </c>
      <c r="AE402" s="4" t="s">
        <v>60</v>
      </c>
      <c r="AF402" s="4" t="s">
        <v>1687</v>
      </c>
      <c r="AG402" s="4" t="s">
        <v>62</v>
      </c>
      <c r="AH402" s="4">
        <v>8.0</v>
      </c>
      <c r="AI402" s="4">
        <v>9.0</v>
      </c>
      <c r="AJ402" s="4">
        <v>8.0</v>
      </c>
      <c r="AK402" s="1">
        <f t="shared" si="1"/>
        <v>25</v>
      </c>
      <c r="AL402" s="1">
        <v>1.0</v>
      </c>
      <c r="AM402" s="4">
        <v>175.0</v>
      </c>
      <c r="AN402" s="1">
        <f t="shared" si="5"/>
        <v>175</v>
      </c>
      <c r="AO402" s="1">
        <f t="shared" si="9"/>
        <v>1.255714286</v>
      </c>
      <c r="AP402" s="4" t="s">
        <v>957</v>
      </c>
    </row>
    <row r="403" ht="12.75" customHeight="1">
      <c r="A403" s="4" t="s">
        <v>1018</v>
      </c>
      <c r="B403" s="4" t="s">
        <v>1020</v>
      </c>
      <c r="C403" s="4" t="s">
        <v>44</v>
      </c>
      <c r="D403" s="4" t="s">
        <v>45</v>
      </c>
      <c r="E403" s="4" t="s">
        <v>124</v>
      </c>
      <c r="F403" s="4" t="s">
        <v>126</v>
      </c>
      <c r="G403" s="4" t="s">
        <v>2253</v>
      </c>
      <c r="H403" s="4" t="s">
        <v>48</v>
      </c>
      <c r="I403" s="4" t="s">
        <v>1863</v>
      </c>
      <c r="J403" s="4">
        <v>21.0</v>
      </c>
      <c r="K403" s="4">
        <v>20.0</v>
      </c>
      <c r="L403" s="4">
        <v>2023.0</v>
      </c>
      <c r="M403" s="4">
        <v>28.0</v>
      </c>
      <c r="N403" s="4">
        <v>7.0</v>
      </c>
      <c r="O403" s="4">
        <v>2025.0</v>
      </c>
      <c r="P403" s="4" t="s">
        <v>105</v>
      </c>
      <c r="Q403" s="4" t="s">
        <v>51</v>
      </c>
      <c r="R403" s="4" t="s">
        <v>52</v>
      </c>
      <c r="S403" s="4" t="s">
        <v>297</v>
      </c>
      <c r="T403" s="4" t="s">
        <v>2254</v>
      </c>
      <c r="U403" s="4">
        <v>1846.0</v>
      </c>
      <c r="V403" s="4">
        <v>2.0</v>
      </c>
      <c r="W403" s="1"/>
      <c r="X403" s="4" t="s">
        <v>55</v>
      </c>
      <c r="Y403" s="4" t="s">
        <v>45</v>
      </c>
      <c r="Z403" s="4" t="s">
        <v>134</v>
      </c>
      <c r="AA403" s="4" t="s">
        <v>2255</v>
      </c>
      <c r="AB403" s="4" t="s">
        <v>2256</v>
      </c>
      <c r="AC403" s="4" t="s">
        <v>2257</v>
      </c>
      <c r="AD403" s="4" t="s">
        <v>1960</v>
      </c>
      <c r="AE403" s="4" t="s">
        <v>2258</v>
      </c>
      <c r="AF403" s="4" t="s">
        <v>1687</v>
      </c>
      <c r="AG403" s="4" t="s">
        <v>62</v>
      </c>
      <c r="AH403" s="4">
        <v>7.0</v>
      </c>
      <c r="AI403" s="4">
        <v>6.0</v>
      </c>
      <c r="AJ403" s="4">
        <v>6.0</v>
      </c>
      <c r="AK403" s="1">
        <f t="shared" si="1"/>
        <v>19</v>
      </c>
      <c r="AL403" s="1">
        <v>1.0</v>
      </c>
      <c r="AM403" s="4">
        <v>350.0</v>
      </c>
      <c r="AN403" s="1">
        <f t="shared" si="5"/>
        <v>350</v>
      </c>
      <c r="AO403" s="1">
        <f t="shared" si="9"/>
        <v>0.9528571429</v>
      </c>
      <c r="AP403" s="4" t="s">
        <v>1021</v>
      </c>
    </row>
    <row r="404" ht="12.75" customHeight="1">
      <c r="A404" s="8" t="s">
        <v>2259</v>
      </c>
      <c r="B404" s="8" t="s">
        <v>2260</v>
      </c>
      <c r="C404" s="4" t="s">
        <v>117</v>
      </c>
      <c r="D404" s="8" t="s">
        <v>45</v>
      </c>
      <c r="E404" s="4" t="s">
        <v>124</v>
      </c>
      <c r="F404" s="8" t="s">
        <v>126</v>
      </c>
      <c r="G404" s="8" t="s">
        <v>2261</v>
      </c>
      <c r="H404" s="8" t="s">
        <v>65</v>
      </c>
      <c r="I404" s="8" t="s">
        <v>2262</v>
      </c>
      <c r="J404" s="9">
        <v>21.0</v>
      </c>
      <c r="K404" s="9">
        <v>10.0</v>
      </c>
      <c r="L404" s="9">
        <v>2013.0</v>
      </c>
      <c r="M404" s="13">
        <v>31.0</v>
      </c>
      <c r="N404" s="13">
        <v>8.0</v>
      </c>
      <c r="O404" s="9">
        <v>2025.0</v>
      </c>
      <c r="P404" s="8" t="s">
        <v>246</v>
      </c>
      <c r="Q404" s="4" t="s">
        <v>51</v>
      </c>
      <c r="R404" s="11" t="s">
        <v>52</v>
      </c>
      <c r="S404" s="8" t="s">
        <v>53</v>
      </c>
      <c r="T404" s="4" t="s">
        <v>106</v>
      </c>
      <c r="U404" s="9">
        <v>2013.0</v>
      </c>
      <c r="V404" s="8"/>
      <c r="W404" s="8"/>
      <c r="X404" s="4" t="s">
        <v>55</v>
      </c>
      <c r="Y404" s="4" t="s">
        <v>45</v>
      </c>
      <c r="Z404" s="8" t="s">
        <v>126</v>
      </c>
      <c r="AA404" s="8" t="s">
        <v>126</v>
      </c>
      <c r="AB404" s="8" t="s">
        <v>126</v>
      </c>
      <c r="AC404" s="8" t="s">
        <v>69</v>
      </c>
      <c r="AD404" s="8" t="s">
        <v>1873</v>
      </c>
      <c r="AE404" s="8" t="s">
        <v>60</v>
      </c>
      <c r="AF404" s="8" t="s">
        <v>2263</v>
      </c>
      <c r="AG404" s="4" t="s">
        <v>62</v>
      </c>
      <c r="AH404" s="9">
        <v>0.0</v>
      </c>
      <c r="AI404" s="9">
        <v>0.0</v>
      </c>
      <c r="AJ404" s="9">
        <v>0.0</v>
      </c>
      <c r="AK404" s="9">
        <f t="shared" si="1"/>
        <v>0</v>
      </c>
      <c r="AL404" s="9">
        <v>1.0</v>
      </c>
      <c r="AM404" s="9">
        <v>91.0</v>
      </c>
      <c r="AN404" s="9">
        <f t="shared" si="5"/>
        <v>91</v>
      </c>
      <c r="AO404" s="9">
        <f>(AH404*5)/100+(AI404*5)/100+(AJ404*5)/100+1/AN404</f>
        <v>0.01098901099</v>
      </c>
      <c r="AP404" s="1"/>
    </row>
    <row r="405" ht="12.75" customHeight="1">
      <c r="A405" s="4" t="s">
        <v>875</v>
      </c>
      <c r="B405" s="4" t="s">
        <v>876</v>
      </c>
      <c r="C405" s="4" t="s">
        <v>44</v>
      </c>
      <c r="D405" s="4" t="s">
        <v>99</v>
      </c>
      <c r="E405" s="4" t="s">
        <v>180</v>
      </c>
      <c r="F405" s="4" t="s">
        <v>183</v>
      </c>
      <c r="G405" s="4" t="s">
        <v>2264</v>
      </c>
      <c r="H405" s="4" t="s">
        <v>65</v>
      </c>
      <c r="I405" s="4" t="s">
        <v>1857</v>
      </c>
      <c r="J405" s="4">
        <v>21.0</v>
      </c>
      <c r="K405" s="4">
        <v>20.0</v>
      </c>
      <c r="L405" s="4">
        <v>2024.0</v>
      </c>
      <c r="M405" s="4">
        <v>1.0</v>
      </c>
      <c r="N405" s="4">
        <v>9.0</v>
      </c>
      <c r="O405" s="4">
        <v>2025.0</v>
      </c>
      <c r="P405" s="4" t="s">
        <v>105</v>
      </c>
      <c r="Q405" s="4" t="s">
        <v>51</v>
      </c>
      <c r="R405" s="4" t="s">
        <v>136</v>
      </c>
      <c r="S405" s="4" t="s">
        <v>138</v>
      </c>
      <c r="T405" s="4" t="s">
        <v>2147</v>
      </c>
      <c r="U405" s="4">
        <v>2024.0</v>
      </c>
      <c r="V405" s="1"/>
      <c r="W405" s="1"/>
      <c r="X405" s="4" t="s">
        <v>55</v>
      </c>
      <c r="Y405" s="4" t="s">
        <v>99</v>
      </c>
      <c r="Z405" s="4" t="s">
        <v>183</v>
      </c>
      <c r="AA405" s="4" t="s">
        <v>2265</v>
      </c>
      <c r="AB405" s="4" t="s">
        <v>2266</v>
      </c>
      <c r="AC405" s="4" t="s">
        <v>2267</v>
      </c>
      <c r="AD405" s="4" t="s">
        <v>2060</v>
      </c>
      <c r="AE405" s="4" t="s">
        <v>60</v>
      </c>
      <c r="AF405" s="4" t="s">
        <v>1687</v>
      </c>
      <c r="AG405" s="4" t="s">
        <v>62</v>
      </c>
      <c r="AH405" s="4">
        <v>8.0</v>
      </c>
      <c r="AI405" s="4">
        <v>9.0</v>
      </c>
      <c r="AJ405" s="4">
        <v>8.0</v>
      </c>
      <c r="AK405" s="1">
        <f t="shared" si="1"/>
        <v>25</v>
      </c>
      <c r="AL405" s="1">
        <v>1.0</v>
      </c>
      <c r="AM405" s="4">
        <v>165.0</v>
      </c>
      <c r="AN405" s="1">
        <f t="shared" si="5"/>
        <v>165</v>
      </c>
      <c r="AO405" s="1">
        <f t="shared" ref="AO405:AO407" si="10">(AH405*5)/100+(AI405*5)/100+(AJ405*5)/100+1/AN405</f>
        <v>1.256060606</v>
      </c>
      <c r="AP405" s="4" t="s">
        <v>877</v>
      </c>
    </row>
    <row r="406" ht="12.75" customHeight="1">
      <c r="A406" s="4" t="s">
        <v>1376</v>
      </c>
      <c r="B406" s="4" t="s">
        <v>1377</v>
      </c>
      <c r="C406" s="4" t="s">
        <v>44</v>
      </c>
      <c r="D406" s="4" t="s">
        <v>45</v>
      </c>
      <c r="E406" s="4" t="s">
        <v>46</v>
      </c>
      <c r="F406" s="4" t="s">
        <v>129</v>
      </c>
      <c r="G406" s="4" t="s">
        <v>2268</v>
      </c>
      <c r="H406" s="4" t="s">
        <v>65</v>
      </c>
      <c r="I406" s="4" t="s">
        <v>1776</v>
      </c>
      <c r="J406" s="4">
        <v>20.0</v>
      </c>
      <c r="K406" s="4">
        <v>60.0</v>
      </c>
      <c r="L406" s="4">
        <v>1966.0</v>
      </c>
      <c r="M406" s="4">
        <v>2.0</v>
      </c>
      <c r="N406" s="4">
        <v>9.0</v>
      </c>
      <c r="O406" s="4">
        <v>2025.0</v>
      </c>
      <c r="P406" s="4" t="s">
        <v>105</v>
      </c>
      <c r="Q406" s="4" t="s">
        <v>51</v>
      </c>
      <c r="R406" s="4" t="s">
        <v>223</v>
      </c>
      <c r="S406" s="4" t="s">
        <v>269</v>
      </c>
      <c r="T406" s="4" t="s">
        <v>2269</v>
      </c>
      <c r="U406" s="4">
        <v>1943.0</v>
      </c>
      <c r="V406" s="1"/>
      <c r="W406" s="1"/>
      <c r="X406" s="4" t="s">
        <v>55</v>
      </c>
      <c r="Y406" s="4" t="s">
        <v>45</v>
      </c>
      <c r="Z406" s="4" t="s">
        <v>129</v>
      </c>
      <c r="AA406" s="4" t="s">
        <v>2270</v>
      </c>
      <c r="AB406" s="4" t="s">
        <v>2271</v>
      </c>
      <c r="AC406" s="4" t="s">
        <v>92</v>
      </c>
      <c r="AD406" s="4" t="s">
        <v>2000</v>
      </c>
      <c r="AE406" s="4" t="s">
        <v>60</v>
      </c>
      <c r="AF406" s="4" t="s">
        <v>1687</v>
      </c>
      <c r="AG406" s="4" t="s">
        <v>62</v>
      </c>
      <c r="AH406" s="4">
        <v>8.0</v>
      </c>
      <c r="AI406" s="4">
        <v>8.0</v>
      </c>
      <c r="AJ406" s="4">
        <v>8.0</v>
      </c>
      <c r="AK406" s="1">
        <f t="shared" si="1"/>
        <v>24</v>
      </c>
      <c r="AL406" s="1">
        <v>1.0</v>
      </c>
      <c r="AM406" s="4">
        <v>107.0</v>
      </c>
      <c r="AN406" s="1">
        <f t="shared" si="5"/>
        <v>107</v>
      </c>
      <c r="AO406" s="1">
        <f t="shared" si="10"/>
        <v>1.209345794</v>
      </c>
      <c r="AP406" s="4" t="s">
        <v>1378</v>
      </c>
    </row>
    <row r="407" ht="12.75" customHeight="1">
      <c r="A407" s="1" t="s">
        <v>97</v>
      </c>
      <c r="B407" s="1" t="s">
        <v>147</v>
      </c>
      <c r="C407" s="4" t="s">
        <v>44</v>
      </c>
      <c r="D407" s="1" t="s">
        <v>99</v>
      </c>
      <c r="E407" s="1" t="s">
        <v>100</v>
      </c>
      <c r="F407" s="1" t="s">
        <v>101</v>
      </c>
      <c r="G407" s="4" t="s">
        <v>150</v>
      </c>
      <c r="H407" s="1" t="s">
        <v>48</v>
      </c>
      <c r="I407" s="1" t="s">
        <v>103</v>
      </c>
      <c r="J407" s="1">
        <v>20.0</v>
      </c>
      <c r="K407" s="1">
        <v>90.0</v>
      </c>
      <c r="L407" s="1">
        <v>1998.0</v>
      </c>
      <c r="M407" s="4">
        <v>15.0</v>
      </c>
      <c r="N407" s="4">
        <v>9.0</v>
      </c>
      <c r="O407" s="4">
        <v>2025.0</v>
      </c>
      <c r="P407" s="1" t="s">
        <v>105</v>
      </c>
      <c r="Q407" s="4" t="s">
        <v>51</v>
      </c>
      <c r="R407" s="1" t="s">
        <v>52</v>
      </c>
      <c r="S407" s="1" t="s">
        <v>53</v>
      </c>
      <c r="T407" s="4" t="s">
        <v>106</v>
      </c>
      <c r="U407" s="1">
        <v>1992.0</v>
      </c>
      <c r="V407" s="1"/>
      <c r="W407" s="1"/>
      <c r="X407" s="4" t="s">
        <v>55</v>
      </c>
      <c r="Y407" s="4" t="s">
        <v>99</v>
      </c>
      <c r="Z407" s="4" t="s">
        <v>108</v>
      </c>
      <c r="AA407" s="4" t="s">
        <v>108</v>
      </c>
      <c r="AB407" s="1" t="s">
        <v>109</v>
      </c>
      <c r="AC407" s="1" t="s">
        <v>110</v>
      </c>
      <c r="AD407" s="1" t="s">
        <v>111</v>
      </c>
      <c r="AE407" s="1" t="s">
        <v>112</v>
      </c>
      <c r="AF407" s="1" t="s">
        <v>113</v>
      </c>
      <c r="AG407" s="4" t="s">
        <v>62</v>
      </c>
      <c r="AH407" s="4">
        <v>7.0</v>
      </c>
      <c r="AI407" s="4">
        <v>8.0</v>
      </c>
      <c r="AJ407" s="4">
        <v>6.0</v>
      </c>
      <c r="AK407" s="1">
        <f t="shared" si="1"/>
        <v>21</v>
      </c>
      <c r="AL407" s="4">
        <v>1.0</v>
      </c>
      <c r="AM407" s="1">
        <v>252.0</v>
      </c>
      <c r="AN407" s="1">
        <f t="shared" si="5"/>
        <v>252</v>
      </c>
      <c r="AO407" s="1">
        <f t="shared" si="10"/>
        <v>1.053968254</v>
      </c>
      <c r="AP407" s="4" t="s">
        <v>1028</v>
      </c>
    </row>
    <row r="408" ht="12.75" customHeight="1">
      <c r="A408" s="8" t="s">
        <v>97</v>
      </c>
      <c r="B408" s="8" t="s">
        <v>147</v>
      </c>
      <c r="C408" s="4" t="s">
        <v>117</v>
      </c>
      <c r="D408" s="8" t="s">
        <v>99</v>
      </c>
      <c r="E408" s="8" t="s">
        <v>100</v>
      </c>
      <c r="F408" s="8" t="s">
        <v>101</v>
      </c>
      <c r="G408" s="8" t="s">
        <v>150</v>
      </c>
      <c r="H408" s="8" t="s">
        <v>65</v>
      </c>
      <c r="I408" s="8" t="s">
        <v>103</v>
      </c>
      <c r="J408" s="9">
        <v>20.0</v>
      </c>
      <c r="K408" s="9">
        <v>90.0</v>
      </c>
      <c r="L408" s="9">
        <v>1998.0</v>
      </c>
      <c r="M408" s="9">
        <v>15.0</v>
      </c>
      <c r="N408" s="9">
        <v>9.0</v>
      </c>
      <c r="O408" s="9">
        <v>2025.0</v>
      </c>
      <c r="P408" s="8" t="s">
        <v>105</v>
      </c>
      <c r="Q408" s="4" t="s">
        <v>51</v>
      </c>
      <c r="R408" s="8" t="s">
        <v>52</v>
      </c>
      <c r="S408" s="8" t="s">
        <v>53</v>
      </c>
      <c r="T408" s="4" t="s">
        <v>106</v>
      </c>
      <c r="U408" s="9">
        <v>1992.0</v>
      </c>
      <c r="V408" s="8"/>
      <c r="W408" s="8"/>
      <c r="X408" s="4" t="s">
        <v>55</v>
      </c>
      <c r="Y408" s="4" t="s">
        <v>99</v>
      </c>
      <c r="Z408" s="4" t="s">
        <v>108</v>
      </c>
      <c r="AA408" s="4" t="s">
        <v>108</v>
      </c>
      <c r="AB408" s="8" t="s">
        <v>109</v>
      </c>
      <c r="AC408" s="8" t="s">
        <v>110</v>
      </c>
      <c r="AD408" s="8" t="s">
        <v>111</v>
      </c>
      <c r="AE408" s="8" t="s">
        <v>112</v>
      </c>
      <c r="AF408" s="8" t="s">
        <v>113</v>
      </c>
      <c r="AG408" s="4" t="s">
        <v>62</v>
      </c>
      <c r="AH408" s="9">
        <v>10.0</v>
      </c>
      <c r="AI408" s="9">
        <v>10.0</v>
      </c>
      <c r="AJ408" s="9">
        <v>10.0</v>
      </c>
      <c r="AK408" s="9">
        <f t="shared" si="1"/>
        <v>30</v>
      </c>
      <c r="AL408" s="13">
        <v>1.0</v>
      </c>
      <c r="AM408" s="9">
        <v>252.0</v>
      </c>
      <c r="AN408" s="9">
        <f t="shared" si="5"/>
        <v>252</v>
      </c>
      <c r="AO408" s="9">
        <f>(AH408*5)/100+(AI408*5)/100+(AJ408*5)/100+1/AN408</f>
        <v>1.503968254</v>
      </c>
      <c r="AP408" s="1"/>
    </row>
    <row r="409" ht="12.75" customHeight="1">
      <c r="A409" s="4" t="s">
        <v>890</v>
      </c>
      <c r="B409" s="4" t="s">
        <v>891</v>
      </c>
      <c r="C409" s="4" t="s">
        <v>44</v>
      </c>
      <c r="D409" s="4" t="s">
        <v>45</v>
      </c>
      <c r="E409" s="4" t="s">
        <v>124</v>
      </c>
      <c r="F409" s="4" t="s">
        <v>126</v>
      </c>
      <c r="G409" s="4" t="s">
        <v>891</v>
      </c>
      <c r="H409" s="4" t="s">
        <v>48</v>
      </c>
      <c r="I409" s="4" t="s">
        <v>1863</v>
      </c>
      <c r="J409" s="4">
        <v>20.0</v>
      </c>
      <c r="K409" s="4">
        <v>20.0</v>
      </c>
      <c r="L409" s="4">
        <v>2025.0</v>
      </c>
      <c r="M409" s="4">
        <v>22.0</v>
      </c>
      <c r="N409" s="4">
        <v>9.0</v>
      </c>
      <c r="O409" s="4">
        <v>2025.0</v>
      </c>
      <c r="P409" s="4" t="s">
        <v>105</v>
      </c>
      <c r="Q409" s="4" t="s">
        <v>51</v>
      </c>
      <c r="R409" s="4" t="s">
        <v>52</v>
      </c>
      <c r="S409" s="4" t="s">
        <v>106</v>
      </c>
      <c r="T409" s="4" t="s">
        <v>1913</v>
      </c>
      <c r="U409" s="4">
        <v>1962.0</v>
      </c>
      <c r="V409" s="1"/>
      <c r="W409" s="1"/>
      <c r="X409" s="4" t="s">
        <v>55</v>
      </c>
      <c r="Y409" s="4" t="s">
        <v>99</v>
      </c>
      <c r="Z409" s="1" t="s">
        <v>197</v>
      </c>
      <c r="AA409" s="1" t="s">
        <v>549</v>
      </c>
      <c r="AB409" s="1" t="s">
        <v>549</v>
      </c>
      <c r="AC409" s="4" t="s">
        <v>1781</v>
      </c>
      <c r="AD409" s="4" t="s">
        <v>2272</v>
      </c>
      <c r="AE409" s="4" t="s">
        <v>60</v>
      </c>
      <c r="AF409" s="4" t="s">
        <v>1687</v>
      </c>
      <c r="AG409" s="4" t="s">
        <v>2273</v>
      </c>
      <c r="AH409" s="4">
        <v>8.0</v>
      </c>
      <c r="AI409" s="4">
        <v>7.0</v>
      </c>
      <c r="AJ409" s="4">
        <v>7.0</v>
      </c>
      <c r="AK409" s="1">
        <f t="shared" si="1"/>
        <v>22</v>
      </c>
      <c r="AL409" s="4">
        <v>1.0</v>
      </c>
      <c r="AM409" s="4">
        <v>381.0</v>
      </c>
      <c r="AN409" s="1">
        <f t="shared" si="5"/>
        <v>381</v>
      </c>
      <c r="AO409" s="1">
        <f>(AH409*5)/100+(AI409*5)/100+(AJ409*5)/100+1/AN409</f>
        <v>1.102624672</v>
      </c>
      <c r="AP409" s="4" t="s">
        <v>892</v>
      </c>
    </row>
    <row r="410" ht="12.75" customHeight="1">
      <c r="A410" s="8" t="s">
        <v>2227</v>
      </c>
      <c r="B410" s="8" t="s">
        <v>2274</v>
      </c>
      <c r="C410" s="4" t="s">
        <v>117</v>
      </c>
      <c r="D410" s="8" t="s">
        <v>212</v>
      </c>
      <c r="E410" s="8" t="s">
        <v>212</v>
      </c>
      <c r="F410" s="8" t="s">
        <v>213</v>
      </c>
      <c r="G410" s="8" t="s">
        <v>2229</v>
      </c>
      <c r="H410" s="8" t="s">
        <v>2206</v>
      </c>
      <c r="I410" s="8" t="s">
        <v>2230</v>
      </c>
      <c r="J410" s="9">
        <v>21.0</v>
      </c>
      <c r="K410" s="9">
        <v>10.0</v>
      </c>
      <c r="L410" s="9">
        <v>2016.0</v>
      </c>
      <c r="M410" s="9">
        <v>26.0</v>
      </c>
      <c r="N410" s="9">
        <v>9.0</v>
      </c>
      <c r="O410" s="9">
        <v>2025.0</v>
      </c>
      <c r="P410" s="8" t="s">
        <v>105</v>
      </c>
      <c r="Q410" s="4" t="s">
        <v>51</v>
      </c>
      <c r="R410" s="1" t="s">
        <v>52</v>
      </c>
      <c r="S410" s="8" t="s">
        <v>67</v>
      </c>
      <c r="T410" s="4" t="s">
        <v>106</v>
      </c>
      <c r="U410" s="9">
        <v>2016.0</v>
      </c>
      <c r="V410" s="8"/>
      <c r="W410" s="8"/>
      <c r="X410" s="4" t="s">
        <v>30</v>
      </c>
      <c r="Y410" s="4" t="s">
        <v>30</v>
      </c>
      <c r="Z410" s="8" t="s">
        <v>68</v>
      </c>
      <c r="AA410" s="11" t="s">
        <v>2231</v>
      </c>
      <c r="AB410" s="8" t="s">
        <v>2231</v>
      </c>
      <c r="AC410" s="8" t="s">
        <v>58</v>
      </c>
      <c r="AD410" s="8" t="s">
        <v>60</v>
      </c>
      <c r="AE410" s="8" t="s">
        <v>60</v>
      </c>
      <c r="AF410" s="8" t="s">
        <v>2232</v>
      </c>
      <c r="AG410" s="4" t="s">
        <v>62</v>
      </c>
      <c r="AH410" s="9">
        <v>10.0</v>
      </c>
      <c r="AI410" s="9">
        <v>10.0</v>
      </c>
      <c r="AJ410" s="9">
        <v>10.0</v>
      </c>
      <c r="AK410" s="9">
        <f t="shared" si="1"/>
        <v>30</v>
      </c>
      <c r="AL410" s="9">
        <v>1.0</v>
      </c>
      <c r="AM410" s="9">
        <v>349.0</v>
      </c>
      <c r="AN410" s="9">
        <f t="shared" si="5"/>
        <v>349</v>
      </c>
      <c r="AO410" s="9">
        <f>(AH410*5)/100+(AI410*5)/100+(AJ410*5)/100+1/AN410</f>
        <v>1.50286533</v>
      </c>
      <c r="AP410" s="1"/>
    </row>
    <row r="411" ht="12.75" customHeight="1">
      <c r="A411" s="4" t="s">
        <v>951</v>
      </c>
      <c r="B411" s="4" t="s">
        <v>953</v>
      </c>
      <c r="C411" s="4" t="s">
        <v>44</v>
      </c>
      <c r="D411" s="4" t="s">
        <v>45</v>
      </c>
      <c r="E411" s="4" t="s">
        <v>46</v>
      </c>
      <c r="F411" s="4" t="s">
        <v>133</v>
      </c>
      <c r="G411" s="4" t="s">
        <v>2275</v>
      </c>
      <c r="H411" s="4" t="s">
        <v>65</v>
      </c>
      <c r="I411" s="4" t="s">
        <v>428</v>
      </c>
      <c r="J411" s="4">
        <v>20.0</v>
      </c>
      <c r="K411" s="4">
        <v>90.0</v>
      </c>
      <c r="L411" s="4">
        <v>1994.0</v>
      </c>
      <c r="M411" s="4">
        <v>30.0</v>
      </c>
      <c r="N411" s="4">
        <v>9.0</v>
      </c>
      <c r="O411" s="4">
        <v>2025.0</v>
      </c>
      <c r="P411" s="4" t="s">
        <v>105</v>
      </c>
      <c r="Q411" s="4" t="s">
        <v>51</v>
      </c>
      <c r="R411" s="1" t="s">
        <v>52</v>
      </c>
      <c r="S411" s="1" t="s">
        <v>298</v>
      </c>
      <c r="T411" s="4" t="s">
        <v>410</v>
      </c>
      <c r="U411" s="4">
        <v>1749.0</v>
      </c>
      <c r="V411" s="1"/>
      <c r="W411" s="1"/>
      <c r="X411" s="4" t="s">
        <v>55</v>
      </c>
      <c r="Y411" s="4" t="s">
        <v>45</v>
      </c>
      <c r="Z411" s="4" t="s">
        <v>133</v>
      </c>
      <c r="AA411" s="4" t="s">
        <v>1179</v>
      </c>
      <c r="AB411" s="4" t="s">
        <v>1179</v>
      </c>
      <c r="AC411" s="4" t="s">
        <v>2202</v>
      </c>
      <c r="AD411" s="4" t="s">
        <v>2276</v>
      </c>
      <c r="AE411" s="4" t="s">
        <v>2277</v>
      </c>
      <c r="AF411" s="4" t="s">
        <v>60</v>
      </c>
      <c r="AG411" s="4" t="s">
        <v>2273</v>
      </c>
      <c r="AH411" s="4">
        <v>8.0</v>
      </c>
      <c r="AI411" s="4">
        <v>9.0</v>
      </c>
      <c r="AJ411" s="4">
        <v>9.0</v>
      </c>
      <c r="AK411" s="1">
        <f t="shared" si="1"/>
        <v>26</v>
      </c>
      <c r="AL411" s="1">
        <v>1.0</v>
      </c>
      <c r="AM411" s="4">
        <v>191.0</v>
      </c>
      <c r="AN411" s="1">
        <f t="shared" si="5"/>
        <v>191</v>
      </c>
      <c r="AO411" s="1">
        <f>(AH411*5)/100+(AI411*5)/100+(AJ411*5)/100+1/AN411</f>
        <v>1.305235602</v>
      </c>
      <c r="AP411" s="4" t="s">
        <v>954</v>
      </c>
    </row>
    <row r="412" ht="12.75" customHeight="1">
      <c r="A412" s="8" t="s">
        <v>2278</v>
      </c>
      <c r="B412" s="8" t="s">
        <v>2279</v>
      </c>
      <c r="C412" s="4" t="s">
        <v>117</v>
      </c>
      <c r="D412" s="8" t="s">
        <v>45</v>
      </c>
      <c r="E412" s="8" t="s">
        <v>46</v>
      </c>
      <c r="F412" s="8" t="s">
        <v>47</v>
      </c>
      <c r="G412" s="8" t="s">
        <v>2279</v>
      </c>
      <c r="H412" s="8" t="s">
        <v>65</v>
      </c>
      <c r="I412" s="8" t="s">
        <v>2221</v>
      </c>
      <c r="J412" s="9">
        <v>21.0</v>
      </c>
      <c r="K412" s="9">
        <v>10.0</v>
      </c>
      <c r="L412" s="9">
        <v>2014.0</v>
      </c>
      <c r="M412" s="9">
        <v>15.0</v>
      </c>
      <c r="N412" s="9">
        <v>10.0</v>
      </c>
      <c r="O412" s="9">
        <v>2025.0</v>
      </c>
      <c r="P412" s="8" t="s">
        <v>246</v>
      </c>
      <c r="Q412" s="4" t="s">
        <v>51</v>
      </c>
      <c r="R412" s="1" t="s">
        <v>52</v>
      </c>
      <c r="S412" s="8" t="s">
        <v>67</v>
      </c>
      <c r="T412" s="4" t="s">
        <v>91</v>
      </c>
      <c r="U412" s="9">
        <v>2014.0</v>
      </c>
      <c r="V412" s="8"/>
      <c r="W412" s="8"/>
      <c r="X412" s="4" t="s">
        <v>55</v>
      </c>
      <c r="Y412" s="4" t="s">
        <v>45</v>
      </c>
      <c r="Z412" s="8" t="s">
        <v>47</v>
      </c>
      <c r="AA412" s="8" t="s">
        <v>47</v>
      </c>
      <c r="AB412" s="8" t="s">
        <v>47</v>
      </c>
      <c r="AC412" s="8" t="s">
        <v>69</v>
      </c>
      <c r="AD412" s="8" t="s">
        <v>2209</v>
      </c>
      <c r="AE412" s="8" t="s">
        <v>60</v>
      </c>
      <c r="AF412" s="8" t="s">
        <v>60</v>
      </c>
      <c r="AG412" s="4" t="s">
        <v>62</v>
      </c>
      <c r="AH412" s="9">
        <v>9.0</v>
      </c>
      <c r="AI412" s="9">
        <v>7.0</v>
      </c>
      <c r="AJ412" s="9">
        <v>10.0</v>
      </c>
      <c r="AK412" s="9">
        <f t="shared" si="1"/>
        <v>26</v>
      </c>
      <c r="AL412" s="9">
        <v>1.0</v>
      </c>
      <c r="AM412" s="9">
        <v>41.0</v>
      </c>
      <c r="AN412" s="9">
        <f t="shared" si="5"/>
        <v>41</v>
      </c>
      <c r="AO412" s="9">
        <f>(AH412*5)/100+(AI412*5)/100+(AJ412*5)/100+1/AN412</f>
        <v>1.324390244</v>
      </c>
      <c r="AP412" s="1"/>
    </row>
    <row r="413" ht="12.75" customHeight="1">
      <c r="A413" s="4" t="s">
        <v>1214</v>
      </c>
      <c r="B413" s="4" t="s">
        <v>1217</v>
      </c>
      <c r="C413" s="4" t="s">
        <v>44</v>
      </c>
      <c r="D413" s="1" t="s">
        <v>45</v>
      </c>
      <c r="E413" s="4" t="s">
        <v>124</v>
      </c>
      <c r="F413" s="1" t="s">
        <v>126</v>
      </c>
      <c r="G413" s="4" t="s">
        <v>2280</v>
      </c>
      <c r="H413" s="4" t="s">
        <v>48</v>
      </c>
      <c r="I413" s="4" t="s">
        <v>1789</v>
      </c>
      <c r="J413" s="4">
        <v>21.0</v>
      </c>
      <c r="K413" s="4">
        <v>20.0</v>
      </c>
      <c r="L413" s="4">
        <v>2024.0</v>
      </c>
      <c r="M413" s="4">
        <v>1.0</v>
      </c>
      <c r="N413" s="4">
        <v>11.0</v>
      </c>
      <c r="O413" s="4">
        <v>2025.0</v>
      </c>
      <c r="P413" s="1" t="s">
        <v>105</v>
      </c>
      <c r="Q413" s="4" t="s">
        <v>51</v>
      </c>
      <c r="R413" s="1" t="s">
        <v>52</v>
      </c>
      <c r="S413" s="1" t="s">
        <v>270</v>
      </c>
      <c r="T413" s="4" t="s">
        <v>526</v>
      </c>
      <c r="U413" s="4">
        <v>1975.0</v>
      </c>
      <c r="V413" s="4">
        <v>8.0</v>
      </c>
      <c r="W413" s="1"/>
      <c r="X413" s="4" t="s">
        <v>55</v>
      </c>
      <c r="Y413" s="4" t="s">
        <v>45</v>
      </c>
      <c r="Z413" s="4" t="s">
        <v>126</v>
      </c>
      <c r="AA413" s="4" t="s">
        <v>739</v>
      </c>
      <c r="AB413" s="4" t="s">
        <v>2281</v>
      </c>
      <c r="AC413" s="4" t="s">
        <v>1781</v>
      </c>
      <c r="AD413" s="4" t="s">
        <v>2282</v>
      </c>
      <c r="AE413" s="4" t="s">
        <v>60</v>
      </c>
      <c r="AF413" s="1" t="s">
        <v>1687</v>
      </c>
      <c r="AG413" s="4" t="s">
        <v>62</v>
      </c>
      <c r="AH413" s="4">
        <v>7.0</v>
      </c>
      <c r="AI413" s="1">
        <v>8.0</v>
      </c>
      <c r="AJ413" s="4">
        <v>7.0</v>
      </c>
      <c r="AK413" s="1">
        <f t="shared" si="1"/>
        <v>22</v>
      </c>
      <c r="AL413" s="1">
        <v>1.0</v>
      </c>
      <c r="AM413" s="4">
        <v>413.0</v>
      </c>
      <c r="AN413" s="1">
        <f t="shared" si="5"/>
        <v>413</v>
      </c>
      <c r="AO413" s="1">
        <f>(AH413*5)/100+(AI413*5)/100+(AJ413*5)/100+1/AN413</f>
        <v>1.102421308</v>
      </c>
      <c r="AP413" s="4" t="s">
        <v>1218</v>
      </c>
    </row>
    <row r="414" ht="12.75" customHeight="1">
      <c r="A414" s="11" t="s">
        <v>2283</v>
      </c>
      <c r="B414" s="8" t="s">
        <v>2284</v>
      </c>
      <c r="C414" s="4" t="s">
        <v>117</v>
      </c>
      <c r="D414" s="8" t="s">
        <v>45</v>
      </c>
      <c r="E414" s="8" t="s">
        <v>46</v>
      </c>
      <c r="F414" s="8" t="s">
        <v>47</v>
      </c>
      <c r="G414" s="8" t="s">
        <v>2284</v>
      </c>
      <c r="H414" s="8" t="s">
        <v>2285</v>
      </c>
      <c r="I414" s="8" t="s">
        <v>620</v>
      </c>
      <c r="J414" s="9">
        <v>21.0</v>
      </c>
      <c r="K414" s="9">
        <v>20.0</v>
      </c>
      <c r="L414" s="9">
        <v>2024.0</v>
      </c>
      <c r="M414" s="9">
        <v>10.0</v>
      </c>
      <c r="N414" s="9">
        <v>11.0</v>
      </c>
      <c r="O414" s="9">
        <v>2025.0</v>
      </c>
      <c r="P414" s="8" t="s">
        <v>105</v>
      </c>
      <c r="Q414" s="4" t="s">
        <v>51</v>
      </c>
      <c r="R414" s="1" t="s">
        <v>52</v>
      </c>
      <c r="S414" s="8" t="s">
        <v>67</v>
      </c>
      <c r="T414" s="4" t="s">
        <v>2147</v>
      </c>
      <c r="U414" s="9">
        <v>2024.0</v>
      </c>
      <c r="V414" s="8"/>
      <c r="W414" s="8"/>
      <c r="X414" s="4" t="s">
        <v>55</v>
      </c>
      <c r="Y414" s="4" t="s">
        <v>45</v>
      </c>
      <c r="Z414" s="8" t="s">
        <v>47</v>
      </c>
      <c r="AA414" s="8" t="s">
        <v>47</v>
      </c>
      <c r="AB414" s="8" t="s">
        <v>47</v>
      </c>
      <c r="AC414" s="8" t="s">
        <v>69</v>
      </c>
      <c r="AD414" s="8" t="s">
        <v>2209</v>
      </c>
      <c r="AE414" s="8" t="s">
        <v>2286</v>
      </c>
      <c r="AF414" s="8" t="s">
        <v>2287</v>
      </c>
      <c r="AG414" s="4" t="s">
        <v>62</v>
      </c>
      <c r="AH414" s="9">
        <v>10.0</v>
      </c>
      <c r="AI414" s="9">
        <v>10.0</v>
      </c>
      <c r="AJ414" s="9">
        <v>10.0</v>
      </c>
      <c r="AK414" s="9">
        <f t="shared" si="1"/>
        <v>30</v>
      </c>
      <c r="AL414" s="9">
        <v>1.0</v>
      </c>
      <c r="AM414" s="9">
        <v>186.0</v>
      </c>
      <c r="AN414" s="9">
        <f t="shared" si="5"/>
        <v>186</v>
      </c>
      <c r="AO414" s="9">
        <f>(AH414*5)/100+(AI414*5)/100+(AJ414*5)/100+1/AN414</f>
        <v>1.505376344</v>
      </c>
      <c r="AP414" s="1"/>
    </row>
    <row r="415" ht="12.75" customHeight="1">
      <c r="A415" s="4" t="s">
        <v>872</v>
      </c>
      <c r="B415" s="4" t="s">
        <v>873</v>
      </c>
      <c r="C415" s="4" t="s">
        <v>44</v>
      </c>
      <c r="D415" s="1" t="s">
        <v>45</v>
      </c>
      <c r="E415" s="4" t="s">
        <v>124</v>
      </c>
      <c r="F415" s="1" t="s">
        <v>126</v>
      </c>
      <c r="G415" s="4" t="s">
        <v>2288</v>
      </c>
      <c r="H415" s="4" t="s">
        <v>48</v>
      </c>
      <c r="I415" s="4" t="s">
        <v>1863</v>
      </c>
      <c r="J415" s="4">
        <v>20.0</v>
      </c>
      <c r="K415" s="4">
        <v>20.0</v>
      </c>
      <c r="L415" s="4">
        <v>1920.0</v>
      </c>
      <c r="M415" s="4">
        <v>25.0</v>
      </c>
      <c r="N415" s="4">
        <v>11.0</v>
      </c>
      <c r="O415" s="4">
        <v>2025.0</v>
      </c>
      <c r="P415" s="1" t="s">
        <v>105</v>
      </c>
      <c r="Q415" s="4" t="s">
        <v>51</v>
      </c>
      <c r="R415" s="1" t="s">
        <v>52</v>
      </c>
      <c r="S415" s="4" t="s">
        <v>106</v>
      </c>
      <c r="T415" s="4" t="s">
        <v>508</v>
      </c>
      <c r="U415" s="4">
        <v>1870.0</v>
      </c>
      <c r="V415" s="4"/>
      <c r="W415" s="1"/>
      <c r="X415" s="4" t="s">
        <v>55</v>
      </c>
      <c r="Y415" s="4" t="s">
        <v>45</v>
      </c>
      <c r="Z415" s="4" t="s">
        <v>126</v>
      </c>
      <c r="AA415" s="4" t="s">
        <v>739</v>
      </c>
      <c r="AB415" s="4" t="s">
        <v>2249</v>
      </c>
      <c r="AC415" s="4" t="s">
        <v>69</v>
      </c>
      <c r="AD415" s="4" t="s">
        <v>1873</v>
      </c>
      <c r="AE415" s="4" t="s">
        <v>60</v>
      </c>
      <c r="AF415" s="1" t="s">
        <v>1687</v>
      </c>
      <c r="AG415" s="4" t="s">
        <v>62</v>
      </c>
      <c r="AH415" s="4">
        <v>8.0</v>
      </c>
      <c r="AI415" s="1">
        <v>8.0</v>
      </c>
      <c r="AJ415" s="4">
        <v>7.0</v>
      </c>
      <c r="AK415" s="1">
        <f t="shared" si="1"/>
        <v>23</v>
      </c>
      <c r="AL415" s="1">
        <v>1.0</v>
      </c>
      <c r="AM415" s="4">
        <v>316.0</v>
      </c>
      <c r="AN415" s="1">
        <f t="shared" si="5"/>
        <v>316</v>
      </c>
      <c r="AO415" s="1">
        <f t="shared" ref="AO415:AO418" si="11">(AH415*5)/100+(AI415*5)/100+(AJ415*5)/100+1/AN415</f>
        <v>1.153164557</v>
      </c>
      <c r="AP415" s="4" t="s">
        <v>874</v>
      </c>
    </row>
    <row r="416" ht="12.75" customHeight="1">
      <c r="A416" s="1" t="s">
        <v>668</v>
      </c>
      <c r="B416" s="4" t="s">
        <v>671</v>
      </c>
      <c r="C416" s="4" t="s">
        <v>44</v>
      </c>
      <c r="D416" s="1" t="s">
        <v>148</v>
      </c>
      <c r="E416" s="1" t="s">
        <v>149</v>
      </c>
      <c r="F416" s="1" t="s">
        <v>151</v>
      </c>
      <c r="G416" s="4" t="s">
        <v>2289</v>
      </c>
      <c r="H416" s="1" t="s">
        <v>48</v>
      </c>
      <c r="I416" s="1" t="s">
        <v>1642</v>
      </c>
      <c r="J416" s="1">
        <v>21.0</v>
      </c>
      <c r="K416" s="1">
        <v>20.0</v>
      </c>
      <c r="L416" s="4">
        <v>2025.0</v>
      </c>
      <c r="M416" s="4">
        <v>16.0</v>
      </c>
      <c r="N416" s="4">
        <v>12.0</v>
      </c>
      <c r="O416" s="4">
        <v>2025.0</v>
      </c>
      <c r="P416" s="1" t="s">
        <v>105</v>
      </c>
      <c r="Q416" s="4" t="s">
        <v>51</v>
      </c>
      <c r="R416" s="1" t="s">
        <v>52</v>
      </c>
      <c r="S416" s="4" t="s">
        <v>291</v>
      </c>
      <c r="T416" s="4" t="s">
        <v>1666</v>
      </c>
      <c r="U416" s="4">
        <v>1937.0</v>
      </c>
      <c r="V416" s="1"/>
      <c r="W416" s="1"/>
      <c r="X416" s="4" t="s">
        <v>55</v>
      </c>
      <c r="Y416" s="4" t="s">
        <v>148</v>
      </c>
      <c r="Z416" s="1" t="s">
        <v>151</v>
      </c>
      <c r="AA416" s="4" t="s">
        <v>1861</v>
      </c>
      <c r="AB416" s="4" t="s">
        <v>1862</v>
      </c>
      <c r="AC416" s="4" t="s">
        <v>1781</v>
      </c>
      <c r="AD416" s="1" t="s">
        <v>406</v>
      </c>
      <c r="AE416" s="1" t="s">
        <v>60</v>
      </c>
      <c r="AF416" s="1" t="s">
        <v>1687</v>
      </c>
      <c r="AG416" s="4" t="s">
        <v>62</v>
      </c>
      <c r="AH416" s="1">
        <v>8.0</v>
      </c>
      <c r="AI416" s="1">
        <v>7.0</v>
      </c>
      <c r="AJ416" s="4">
        <v>7.0</v>
      </c>
      <c r="AK416" s="1">
        <f t="shared" si="1"/>
        <v>22</v>
      </c>
      <c r="AL416" s="1">
        <v>1.0</v>
      </c>
      <c r="AM416" s="4">
        <v>350.0</v>
      </c>
      <c r="AN416" s="1">
        <f t="shared" si="5"/>
        <v>350</v>
      </c>
      <c r="AO416" s="1">
        <f t="shared" si="11"/>
        <v>1.102857143</v>
      </c>
      <c r="AP416" s="4" t="s">
        <v>672</v>
      </c>
    </row>
    <row r="417" ht="12.75" customHeight="1">
      <c r="A417" s="4" t="s">
        <v>1612</v>
      </c>
      <c r="B417" s="4" t="s">
        <v>1613</v>
      </c>
      <c r="C417" s="4" t="s">
        <v>44</v>
      </c>
      <c r="D417" s="4" t="s">
        <v>45</v>
      </c>
      <c r="E417" s="4" t="s">
        <v>46</v>
      </c>
      <c r="F417" s="4" t="s">
        <v>47</v>
      </c>
      <c r="G417" s="4" t="s">
        <v>1613</v>
      </c>
      <c r="H417" s="4" t="s">
        <v>65</v>
      </c>
      <c r="I417" s="4" t="s">
        <v>1776</v>
      </c>
      <c r="J417" s="4">
        <v>21.0</v>
      </c>
      <c r="K417" s="4">
        <v>20.0</v>
      </c>
      <c r="L417" s="4">
        <v>2025.0</v>
      </c>
      <c r="M417" s="4">
        <v>28.0</v>
      </c>
      <c r="N417" s="4">
        <v>12.0</v>
      </c>
      <c r="O417" s="4">
        <v>2025.0</v>
      </c>
      <c r="P417" s="4" t="s">
        <v>105</v>
      </c>
      <c r="Q417" s="4" t="s">
        <v>51</v>
      </c>
      <c r="R417" s="1" t="s">
        <v>52</v>
      </c>
      <c r="S417" s="4" t="s">
        <v>106</v>
      </c>
      <c r="T417" s="4" t="s">
        <v>91</v>
      </c>
      <c r="U417" s="4">
        <v>1999.0</v>
      </c>
      <c r="V417" s="4">
        <v>4.0</v>
      </c>
      <c r="W417" s="4">
        <v>7.0</v>
      </c>
      <c r="X417" s="4" t="s">
        <v>55</v>
      </c>
      <c r="Y417" s="4" t="s">
        <v>45</v>
      </c>
      <c r="Z417" s="4" t="s">
        <v>47</v>
      </c>
      <c r="AA417" s="11" t="s">
        <v>453</v>
      </c>
      <c r="AB417" s="11" t="s">
        <v>454</v>
      </c>
      <c r="AC417" s="4" t="s">
        <v>1781</v>
      </c>
      <c r="AD417" s="4" t="s">
        <v>47</v>
      </c>
      <c r="AE417" s="4" t="s">
        <v>60</v>
      </c>
      <c r="AF417" s="4" t="s">
        <v>1687</v>
      </c>
      <c r="AG417" s="4" t="s">
        <v>62</v>
      </c>
      <c r="AH417" s="4">
        <v>8.0</v>
      </c>
      <c r="AI417" s="4">
        <v>9.0</v>
      </c>
      <c r="AJ417" s="4">
        <v>7.0</v>
      </c>
      <c r="AK417" s="1">
        <f t="shared" si="1"/>
        <v>24</v>
      </c>
      <c r="AL417" s="1">
        <v>1.0</v>
      </c>
      <c r="AM417" s="4">
        <v>142.0</v>
      </c>
      <c r="AN417" s="1">
        <f t="shared" si="5"/>
        <v>142</v>
      </c>
      <c r="AO417" s="1">
        <f t="shared" si="11"/>
        <v>1.207042254</v>
      </c>
      <c r="AP417" s="4" t="s">
        <v>1614</v>
      </c>
    </row>
    <row r="418" ht="12.75" customHeight="1">
      <c r="A418" s="4" t="s">
        <v>1331</v>
      </c>
      <c r="B418" s="4" t="s">
        <v>1332</v>
      </c>
      <c r="C418" s="4" t="s">
        <v>44</v>
      </c>
      <c r="D418" s="4" t="s">
        <v>94</v>
      </c>
      <c r="E418" s="12" t="s">
        <v>95</v>
      </c>
      <c r="F418" s="4" t="s">
        <v>107</v>
      </c>
      <c r="G418" s="4" t="s">
        <v>2290</v>
      </c>
      <c r="H418" s="4" t="s">
        <v>48</v>
      </c>
      <c r="I418" s="4" t="s">
        <v>2084</v>
      </c>
      <c r="J418" s="4">
        <v>21.0</v>
      </c>
      <c r="K418" s="4">
        <v>10.0</v>
      </c>
      <c r="L418" s="4">
        <v>2016.0</v>
      </c>
      <c r="M418" s="4">
        <v>7.0</v>
      </c>
      <c r="N418" s="4">
        <v>1.0</v>
      </c>
      <c r="O418" s="4">
        <v>2026.0</v>
      </c>
      <c r="P418" s="4" t="s">
        <v>105</v>
      </c>
      <c r="Q418" s="4" t="s">
        <v>51</v>
      </c>
      <c r="R418" s="1" t="s">
        <v>52</v>
      </c>
      <c r="S418" s="4" t="s">
        <v>106</v>
      </c>
      <c r="T418" s="4" t="s">
        <v>495</v>
      </c>
      <c r="U418" s="4">
        <v>1995.0</v>
      </c>
      <c r="V418" s="1"/>
      <c r="W418" s="1"/>
      <c r="X418" s="4" t="s">
        <v>55</v>
      </c>
      <c r="Y418" s="4" t="s">
        <v>99</v>
      </c>
      <c r="Z418" s="4" t="s">
        <v>183</v>
      </c>
      <c r="AA418" s="4" t="s">
        <v>2291</v>
      </c>
      <c r="AB418" s="4" t="s">
        <v>2292</v>
      </c>
      <c r="AC418" s="4" t="s">
        <v>1781</v>
      </c>
      <c r="AD418" s="4" t="s">
        <v>1939</v>
      </c>
      <c r="AE418" s="4" t="s">
        <v>422</v>
      </c>
      <c r="AF418" s="4" t="s">
        <v>1687</v>
      </c>
      <c r="AG418" s="4" t="s">
        <v>62</v>
      </c>
      <c r="AH418" s="4">
        <v>8.0</v>
      </c>
      <c r="AI418" s="4">
        <v>8.0</v>
      </c>
      <c r="AJ418" s="4">
        <v>8.0</v>
      </c>
      <c r="AK418" s="1">
        <f t="shared" si="1"/>
        <v>24</v>
      </c>
      <c r="AL418" s="1">
        <v>1.0</v>
      </c>
      <c r="AM418" s="4">
        <v>199.0</v>
      </c>
      <c r="AN418" s="1">
        <f t="shared" si="5"/>
        <v>199</v>
      </c>
      <c r="AO418" s="1">
        <f t="shared" si="11"/>
        <v>1.205025126</v>
      </c>
      <c r="AP418" s="4" t="s">
        <v>1333</v>
      </c>
    </row>
    <row r="419" ht="12.75" customHeight="1">
      <c r="A419" s="11" t="s">
        <v>2283</v>
      </c>
      <c r="B419" s="8" t="s">
        <v>2287</v>
      </c>
      <c r="C419" s="4" t="s">
        <v>117</v>
      </c>
      <c r="D419" s="8" t="s">
        <v>45</v>
      </c>
      <c r="E419" s="8" t="s">
        <v>46</v>
      </c>
      <c r="F419" s="8" t="s">
        <v>47</v>
      </c>
      <c r="G419" s="8" t="s">
        <v>2287</v>
      </c>
      <c r="H419" s="8" t="s">
        <v>2285</v>
      </c>
      <c r="I419" s="8" t="s">
        <v>620</v>
      </c>
      <c r="J419" s="9">
        <v>21.0</v>
      </c>
      <c r="K419" s="9">
        <v>10.0</v>
      </c>
      <c r="L419" s="9">
        <v>2019.0</v>
      </c>
      <c r="M419" s="9">
        <v>10.0</v>
      </c>
      <c r="N419" s="9">
        <v>1.0</v>
      </c>
      <c r="O419" s="9">
        <v>2026.0</v>
      </c>
      <c r="P419" s="8" t="s">
        <v>105</v>
      </c>
      <c r="Q419" s="4" t="s">
        <v>51</v>
      </c>
      <c r="R419" s="1" t="s">
        <v>52</v>
      </c>
      <c r="S419" s="8" t="s">
        <v>67</v>
      </c>
      <c r="T419" s="4" t="s">
        <v>91</v>
      </c>
      <c r="U419" s="9">
        <v>2019.0</v>
      </c>
      <c r="V419" s="8"/>
      <c r="W419" s="8"/>
      <c r="X419" s="4" t="s">
        <v>55</v>
      </c>
      <c r="Y419" s="4" t="s">
        <v>45</v>
      </c>
      <c r="Z419" s="8" t="s">
        <v>47</v>
      </c>
      <c r="AA419" s="8" t="s">
        <v>47</v>
      </c>
      <c r="AB419" s="8" t="s">
        <v>47</v>
      </c>
      <c r="AC419" s="8" t="s">
        <v>69</v>
      </c>
      <c r="AD419" s="8" t="s">
        <v>2209</v>
      </c>
      <c r="AE419" s="8" t="s">
        <v>60</v>
      </c>
      <c r="AF419" s="8" t="s">
        <v>2287</v>
      </c>
      <c r="AG419" s="4" t="s">
        <v>62</v>
      </c>
      <c r="AH419" s="9">
        <v>10.0</v>
      </c>
      <c r="AI419" s="9">
        <v>10.0</v>
      </c>
      <c r="AJ419" s="9">
        <v>10.0</v>
      </c>
      <c r="AK419" s="9">
        <f t="shared" si="1"/>
        <v>30</v>
      </c>
      <c r="AL419" s="9">
        <v>1.0</v>
      </c>
      <c r="AM419" s="9">
        <v>144.0</v>
      </c>
      <c r="AN419" s="9">
        <f t="shared" si="5"/>
        <v>144</v>
      </c>
      <c r="AO419" s="9">
        <f>(AH419*5)/100+(AI419*5)/100+(AJ419*5)/100+1/AN419</f>
        <v>1.506944444</v>
      </c>
      <c r="AP419" s="1"/>
    </row>
    <row r="420" ht="12.75" customHeight="1">
      <c r="A420" s="4" t="s">
        <v>1000</v>
      </c>
      <c r="B420" s="4" t="s">
        <v>1001</v>
      </c>
      <c r="C420" s="4" t="s">
        <v>44</v>
      </c>
      <c r="D420" s="4" t="s">
        <v>99</v>
      </c>
      <c r="E420" s="4" t="s">
        <v>180</v>
      </c>
      <c r="F420" s="4" t="s">
        <v>181</v>
      </c>
      <c r="G420" s="4" t="s">
        <v>2293</v>
      </c>
      <c r="H420" s="4" t="s">
        <v>65</v>
      </c>
      <c r="I420" s="4" t="s">
        <v>1857</v>
      </c>
      <c r="J420" s="4">
        <v>20.0</v>
      </c>
      <c r="K420" s="4">
        <v>40.0</v>
      </c>
      <c r="L420" s="4">
        <v>1949.0</v>
      </c>
      <c r="M420" s="4">
        <v>11.0</v>
      </c>
      <c r="N420" s="4">
        <v>1.0</v>
      </c>
      <c r="O420" s="4">
        <v>2026.0</v>
      </c>
      <c r="P420" s="4" t="s">
        <v>105</v>
      </c>
      <c r="Q420" s="4" t="s">
        <v>51</v>
      </c>
      <c r="R420" s="4" t="s">
        <v>52</v>
      </c>
      <c r="S420" s="4" t="s">
        <v>106</v>
      </c>
      <c r="T420" s="4" t="s">
        <v>1892</v>
      </c>
      <c r="U420" s="4">
        <v>1890.0</v>
      </c>
      <c r="V420" s="1"/>
      <c r="W420" s="1"/>
      <c r="X420" s="4" t="s">
        <v>55</v>
      </c>
      <c r="Y420" s="4" t="s">
        <v>99</v>
      </c>
      <c r="Z420" s="4" t="s">
        <v>181</v>
      </c>
      <c r="AA420" s="4" t="s">
        <v>2294</v>
      </c>
      <c r="AB420" s="4" t="s">
        <v>2295</v>
      </c>
      <c r="AC420" s="4" t="s">
        <v>2296</v>
      </c>
      <c r="AD420" s="4" t="s">
        <v>2047</v>
      </c>
      <c r="AE420" s="4" t="s">
        <v>60</v>
      </c>
      <c r="AF420" s="4" t="s">
        <v>1687</v>
      </c>
      <c r="AG420" s="4" t="s">
        <v>62</v>
      </c>
      <c r="AH420" s="4">
        <v>8.0</v>
      </c>
      <c r="AI420" s="4">
        <v>9.0</v>
      </c>
      <c r="AJ420" s="4">
        <v>8.0</v>
      </c>
      <c r="AK420" s="1">
        <f t="shared" si="1"/>
        <v>25</v>
      </c>
      <c r="AL420" s="1">
        <v>1.0</v>
      </c>
      <c r="AM420" s="4">
        <v>109.0</v>
      </c>
      <c r="AN420" s="1">
        <f t="shared" si="5"/>
        <v>109</v>
      </c>
      <c r="AO420" s="1">
        <f t="shared" ref="AO420:AO421" si="12">(AH420*5)/100+(AI420*5)/100+(AJ420*5)/100+1/AN420</f>
        <v>1.259174312</v>
      </c>
      <c r="AP420" s="4" t="s">
        <v>1002</v>
      </c>
    </row>
    <row r="421" ht="12.75" customHeight="1">
      <c r="A421" s="4" t="s">
        <v>1370</v>
      </c>
      <c r="B421" s="4" t="s">
        <v>1371</v>
      </c>
      <c r="C421" s="4" t="s">
        <v>44</v>
      </c>
      <c r="D421" s="4" t="s">
        <v>99</v>
      </c>
      <c r="E421" s="4" t="s">
        <v>173</v>
      </c>
      <c r="F421" s="4" t="s">
        <v>178</v>
      </c>
      <c r="G421" s="4" t="s">
        <v>2297</v>
      </c>
      <c r="H421" s="4" t="s">
        <v>48</v>
      </c>
      <c r="I421" s="4" t="s">
        <v>428</v>
      </c>
      <c r="J421" s="4">
        <v>21.0</v>
      </c>
      <c r="K421" s="4">
        <v>20.0</v>
      </c>
      <c r="L421" s="4">
        <v>2025.0</v>
      </c>
      <c r="M421" s="4">
        <v>25.0</v>
      </c>
      <c r="N421" s="4">
        <v>1.0</v>
      </c>
      <c r="O421" s="4">
        <v>2026.0</v>
      </c>
      <c r="P421" s="4" t="s">
        <v>105</v>
      </c>
      <c r="Q421" s="4" t="s">
        <v>51</v>
      </c>
      <c r="R421" s="4" t="s">
        <v>52</v>
      </c>
      <c r="S421" s="4" t="s">
        <v>295</v>
      </c>
      <c r="T421" s="4" t="s">
        <v>583</v>
      </c>
      <c r="U421" s="4">
        <v>1943.0</v>
      </c>
      <c r="V421" s="4">
        <v>12.0</v>
      </c>
      <c r="W421" s="4">
        <v>25.0</v>
      </c>
      <c r="X421" s="4" t="s">
        <v>55</v>
      </c>
      <c r="Y421" s="4" t="s">
        <v>99</v>
      </c>
      <c r="Z421" s="4" t="s">
        <v>2200</v>
      </c>
      <c r="AA421" s="4" t="s">
        <v>2298</v>
      </c>
      <c r="AB421" s="4" t="s">
        <v>2299</v>
      </c>
      <c r="AC421" s="4" t="s">
        <v>2202</v>
      </c>
      <c r="AD421" s="4" t="s">
        <v>2047</v>
      </c>
      <c r="AE421" s="4" t="s">
        <v>60</v>
      </c>
      <c r="AF421" s="4" t="s">
        <v>1687</v>
      </c>
      <c r="AG421" s="4" t="s">
        <v>62</v>
      </c>
      <c r="AH421" s="4">
        <v>8.0</v>
      </c>
      <c r="AI421" s="4">
        <v>8.0</v>
      </c>
      <c r="AJ421" s="4">
        <v>8.0</v>
      </c>
      <c r="AK421" s="1">
        <f t="shared" si="1"/>
        <v>24</v>
      </c>
      <c r="AL421" s="4">
        <v>1.0</v>
      </c>
      <c r="AM421" s="4">
        <v>316.0</v>
      </c>
      <c r="AN421" s="1">
        <f t="shared" si="5"/>
        <v>316</v>
      </c>
      <c r="AO421" s="1">
        <f t="shared" si="12"/>
        <v>1.203164557</v>
      </c>
      <c r="AP421" s="4" t="s">
        <v>1372</v>
      </c>
    </row>
    <row r="422" ht="12.75" customHeight="1">
      <c r="A422" s="11" t="s">
        <v>2283</v>
      </c>
      <c r="B422" s="8" t="s">
        <v>2300</v>
      </c>
      <c r="C422" s="4" t="s">
        <v>117</v>
      </c>
      <c r="D422" s="8" t="s">
        <v>45</v>
      </c>
      <c r="E422" s="8" t="s">
        <v>46</v>
      </c>
      <c r="F422" s="8" t="s">
        <v>47</v>
      </c>
      <c r="G422" s="8" t="s">
        <v>2300</v>
      </c>
      <c r="H422" s="8" t="s">
        <v>2285</v>
      </c>
      <c r="I422" s="8" t="s">
        <v>620</v>
      </c>
      <c r="J422" s="9">
        <v>21.0</v>
      </c>
      <c r="K422" s="9">
        <v>20.0</v>
      </c>
      <c r="L422" s="9">
        <v>2023.0</v>
      </c>
      <c r="M422" s="9">
        <v>3.0</v>
      </c>
      <c r="N422" s="9">
        <v>2.0</v>
      </c>
      <c r="O422" s="9">
        <v>2026.0</v>
      </c>
      <c r="P422" s="8" t="s">
        <v>105</v>
      </c>
      <c r="Q422" s="4" t="s">
        <v>51</v>
      </c>
      <c r="R422" s="4" t="s">
        <v>67</v>
      </c>
      <c r="S422" s="8" t="s">
        <v>67</v>
      </c>
      <c r="T422" s="4" t="s">
        <v>1710</v>
      </c>
      <c r="U422" s="9">
        <v>2023.0</v>
      </c>
      <c r="V422" s="8"/>
      <c r="W422" s="8"/>
      <c r="X422" s="4" t="s">
        <v>55</v>
      </c>
      <c r="Y422" s="4" t="s">
        <v>45</v>
      </c>
      <c r="Z422" s="8" t="s">
        <v>47</v>
      </c>
      <c r="AA422" s="8" t="s">
        <v>47</v>
      </c>
      <c r="AB422" s="8" t="s">
        <v>47</v>
      </c>
      <c r="AC422" s="8" t="s">
        <v>69</v>
      </c>
      <c r="AD422" s="8" t="s">
        <v>2209</v>
      </c>
      <c r="AE422" s="8" t="s">
        <v>60</v>
      </c>
      <c r="AF422" s="8" t="s">
        <v>2287</v>
      </c>
      <c r="AG422" s="4" t="s">
        <v>62</v>
      </c>
      <c r="AH422" s="9">
        <v>10.0</v>
      </c>
      <c r="AI422" s="9">
        <v>10.0</v>
      </c>
      <c r="AJ422" s="9">
        <v>10.0</v>
      </c>
      <c r="AK422" s="9">
        <f t="shared" si="1"/>
        <v>30</v>
      </c>
      <c r="AL422" s="9">
        <v>1.0</v>
      </c>
      <c r="AM422" s="9">
        <v>185.0</v>
      </c>
      <c r="AN422" s="9">
        <f t="shared" si="5"/>
        <v>185</v>
      </c>
      <c r="AO422" s="9">
        <f>(AH422*5)/100+(AI422*5)/100+(AJ422*5)/100+1/AN422</f>
        <v>1.505405405</v>
      </c>
      <c r="AP422" s="1"/>
    </row>
    <row r="423" ht="12.75" customHeight="1">
      <c r="A423" s="4" t="s">
        <v>1063</v>
      </c>
      <c r="B423" s="4" t="s">
        <v>1064</v>
      </c>
      <c r="C423" s="4" t="s">
        <v>44</v>
      </c>
      <c r="D423" s="4" t="s">
        <v>99</v>
      </c>
      <c r="E423" s="4" t="s">
        <v>173</v>
      </c>
      <c r="F423" s="4" t="s">
        <v>175</v>
      </c>
      <c r="G423" s="4" t="s">
        <v>1064</v>
      </c>
      <c r="H423" s="4" t="s">
        <v>65</v>
      </c>
      <c r="I423" s="4" t="s">
        <v>2301</v>
      </c>
      <c r="J423" s="4">
        <v>21.0</v>
      </c>
      <c r="K423" s="4">
        <v>20.0</v>
      </c>
      <c r="L423" s="4">
        <v>2020.0</v>
      </c>
      <c r="M423" s="4">
        <v>4.0</v>
      </c>
      <c r="N423" s="4">
        <v>2.0</v>
      </c>
      <c r="O423" s="4">
        <v>2026.0</v>
      </c>
      <c r="P423" s="4" t="s">
        <v>214</v>
      </c>
      <c r="Q423" s="4" t="s">
        <v>51</v>
      </c>
      <c r="R423" s="4" t="s">
        <v>52</v>
      </c>
      <c r="S423" s="4" t="s">
        <v>270</v>
      </c>
      <c r="T423" s="4" t="s">
        <v>106</v>
      </c>
      <c r="U423" s="4">
        <v>1998.0</v>
      </c>
      <c r="V423" s="4">
        <v>11.0</v>
      </c>
      <c r="W423" s="4">
        <v>26.0</v>
      </c>
      <c r="X423" s="4" t="s">
        <v>55</v>
      </c>
      <c r="Y423" s="4" t="s">
        <v>45</v>
      </c>
      <c r="Z423" s="4" t="s">
        <v>126</v>
      </c>
      <c r="AA423" s="4" t="s">
        <v>739</v>
      </c>
      <c r="AB423" s="4" t="s">
        <v>2249</v>
      </c>
      <c r="AC423" s="4" t="s">
        <v>69</v>
      </c>
      <c r="AD423" s="4" t="s">
        <v>1873</v>
      </c>
      <c r="AE423" s="4" t="s">
        <v>60</v>
      </c>
      <c r="AF423" s="4" t="s">
        <v>1687</v>
      </c>
      <c r="AG423" s="4" t="s">
        <v>2302</v>
      </c>
      <c r="AH423" s="4">
        <v>7.0</v>
      </c>
      <c r="AI423" s="4">
        <v>7.0</v>
      </c>
      <c r="AJ423" s="4">
        <v>6.0</v>
      </c>
      <c r="AK423" s="1">
        <f t="shared" si="1"/>
        <v>20</v>
      </c>
      <c r="AL423" s="4">
        <v>1.0</v>
      </c>
      <c r="AM423" s="4">
        <v>509.0</v>
      </c>
      <c r="AN423" s="1">
        <f t="shared" si="5"/>
        <v>509</v>
      </c>
      <c r="AO423" s="1">
        <f>(AH423*5)/100+(AI423*5)/100+(AJ423*5)/100+1/AN423</f>
        <v>1.001964637</v>
      </c>
      <c r="AP423" s="4" t="s">
        <v>1065</v>
      </c>
    </row>
    <row r="424" ht="12.75" customHeight="1">
      <c r="A424" s="8" t="s">
        <v>2303</v>
      </c>
      <c r="B424" s="8" t="s">
        <v>2304</v>
      </c>
      <c r="C424" s="4" t="s">
        <v>117</v>
      </c>
      <c r="D424" s="8" t="s">
        <v>45</v>
      </c>
      <c r="E424" s="8" t="s">
        <v>46</v>
      </c>
      <c r="F424" s="8" t="s">
        <v>47</v>
      </c>
      <c r="G424" s="8" t="s">
        <v>2305</v>
      </c>
      <c r="H424" s="8" t="s">
        <v>2285</v>
      </c>
      <c r="I424" s="8" t="s">
        <v>2306</v>
      </c>
      <c r="J424" s="9">
        <v>21.0</v>
      </c>
      <c r="K424" s="9">
        <v>20.0</v>
      </c>
      <c r="L424" s="9">
        <v>2023.0</v>
      </c>
      <c r="M424" s="9">
        <v>4.0</v>
      </c>
      <c r="N424" s="9">
        <v>2.0</v>
      </c>
      <c r="O424" s="9">
        <v>2026.0</v>
      </c>
      <c r="P424" s="8" t="s">
        <v>105</v>
      </c>
      <c r="Q424" s="4" t="s">
        <v>51</v>
      </c>
      <c r="R424" s="4" t="s">
        <v>67</v>
      </c>
      <c r="S424" s="8" t="s">
        <v>67</v>
      </c>
      <c r="T424" s="4" t="s">
        <v>1710</v>
      </c>
      <c r="U424" s="9">
        <v>2023.0</v>
      </c>
      <c r="V424" s="8"/>
      <c r="W424" s="8"/>
      <c r="X424" s="4" t="s">
        <v>30</v>
      </c>
      <c r="Y424" s="4" t="s">
        <v>30</v>
      </c>
      <c r="Z424" s="8" t="s">
        <v>68</v>
      </c>
      <c r="AA424" s="8" t="s">
        <v>68</v>
      </c>
      <c r="AB424" s="8" t="s">
        <v>68</v>
      </c>
      <c r="AC424" s="8" t="s">
        <v>261</v>
      </c>
      <c r="AD424" s="8" t="s">
        <v>60</v>
      </c>
      <c r="AE424" s="8" t="s">
        <v>2307</v>
      </c>
      <c r="AF424" s="8" t="s">
        <v>2303</v>
      </c>
      <c r="AG424" s="4" t="s">
        <v>62</v>
      </c>
      <c r="AH424" s="9">
        <v>9.0</v>
      </c>
      <c r="AI424" s="9">
        <v>7.0</v>
      </c>
      <c r="AJ424" s="9">
        <v>9.0</v>
      </c>
      <c r="AK424" s="9">
        <f t="shared" si="1"/>
        <v>25</v>
      </c>
      <c r="AL424" s="9">
        <v>1.0</v>
      </c>
      <c r="AM424" s="9">
        <v>18.0</v>
      </c>
      <c r="AN424" s="9">
        <f t="shared" si="5"/>
        <v>18</v>
      </c>
      <c r="AO424" s="9">
        <f t="shared" ref="AO424:AO429" si="13">(AH424*5)/100+(AI424*5)/100+(AJ424*5)/100+1/AN424</f>
        <v>1.305555556</v>
      </c>
      <c r="AP424" s="1"/>
    </row>
    <row r="425" ht="12.75" customHeight="1">
      <c r="A425" s="8" t="s">
        <v>2303</v>
      </c>
      <c r="B425" s="8" t="s">
        <v>2308</v>
      </c>
      <c r="C425" s="4" t="s">
        <v>117</v>
      </c>
      <c r="D425" s="8" t="s">
        <v>45</v>
      </c>
      <c r="E425" s="8" t="s">
        <v>46</v>
      </c>
      <c r="F425" s="8" t="s">
        <v>47</v>
      </c>
      <c r="G425" s="8" t="s">
        <v>2305</v>
      </c>
      <c r="H425" s="8" t="s">
        <v>2285</v>
      </c>
      <c r="I425" s="8" t="s">
        <v>2306</v>
      </c>
      <c r="J425" s="9">
        <v>21.0</v>
      </c>
      <c r="K425" s="9">
        <v>10.0</v>
      </c>
      <c r="L425" s="9">
        <v>2017.0</v>
      </c>
      <c r="M425" s="9">
        <v>5.0</v>
      </c>
      <c r="N425" s="9">
        <v>2.0</v>
      </c>
      <c r="O425" s="9">
        <v>2026.0</v>
      </c>
      <c r="P425" s="8" t="s">
        <v>105</v>
      </c>
      <c r="Q425" s="4" t="s">
        <v>51</v>
      </c>
      <c r="R425" s="4" t="s">
        <v>67</v>
      </c>
      <c r="S425" s="8" t="s">
        <v>67</v>
      </c>
      <c r="T425" s="4" t="s">
        <v>106</v>
      </c>
      <c r="U425" s="9">
        <v>2017.0</v>
      </c>
      <c r="V425" s="8"/>
      <c r="W425" s="8"/>
      <c r="X425" s="4" t="s">
        <v>30</v>
      </c>
      <c r="Y425" s="4" t="s">
        <v>30</v>
      </c>
      <c r="Z425" s="8" t="s">
        <v>68</v>
      </c>
      <c r="AA425" s="8" t="s">
        <v>68</v>
      </c>
      <c r="AB425" s="8" t="s">
        <v>68</v>
      </c>
      <c r="AC425" s="8" t="s">
        <v>261</v>
      </c>
      <c r="AD425" s="8" t="s">
        <v>60</v>
      </c>
      <c r="AE425" s="8" t="s">
        <v>60</v>
      </c>
      <c r="AF425" s="8" t="s">
        <v>2303</v>
      </c>
      <c r="AG425" s="4" t="s">
        <v>62</v>
      </c>
      <c r="AH425" s="9">
        <v>7.0</v>
      </c>
      <c r="AI425" s="9">
        <v>7.0</v>
      </c>
      <c r="AJ425" s="9">
        <v>8.0</v>
      </c>
      <c r="AK425" s="9">
        <f t="shared" si="1"/>
        <v>22</v>
      </c>
      <c r="AL425" s="9">
        <v>1.0</v>
      </c>
      <c r="AM425" s="9">
        <v>18.0</v>
      </c>
      <c r="AN425" s="9">
        <f t="shared" si="5"/>
        <v>18</v>
      </c>
      <c r="AO425" s="9">
        <f t="shared" si="13"/>
        <v>1.155555556</v>
      </c>
      <c r="AP425" s="1"/>
    </row>
    <row r="426" ht="12.75" customHeight="1">
      <c r="A426" s="8" t="s">
        <v>2303</v>
      </c>
      <c r="B426" s="8" t="s">
        <v>2309</v>
      </c>
      <c r="C426" s="4" t="s">
        <v>117</v>
      </c>
      <c r="D426" s="8" t="s">
        <v>45</v>
      </c>
      <c r="E426" s="8" t="s">
        <v>46</v>
      </c>
      <c r="F426" s="8" t="s">
        <v>47</v>
      </c>
      <c r="G426" s="8" t="s">
        <v>2305</v>
      </c>
      <c r="H426" s="8" t="s">
        <v>2285</v>
      </c>
      <c r="I426" s="8" t="s">
        <v>2306</v>
      </c>
      <c r="J426" s="9">
        <v>21.0</v>
      </c>
      <c r="K426" s="9">
        <v>10.0</v>
      </c>
      <c r="L426" s="9">
        <v>2017.0</v>
      </c>
      <c r="M426" s="9">
        <v>6.0</v>
      </c>
      <c r="N426" s="9">
        <v>2.0</v>
      </c>
      <c r="O426" s="9">
        <v>2026.0</v>
      </c>
      <c r="P426" s="8" t="s">
        <v>105</v>
      </c>
      <c r="Q426" s="4" t="s">
        <v>51</v>
      </c>
      <c r="R426" s="4" t="s">
        <v>67</v>
      </c>
      <c r="S426" s="8" t="s">
        <v>67</v>
      </c>
      <c r="T426" s="4" t="s">
        <v>106</v>
      </c>
      <c r="U426" s="9">
        <v>2017.0</v>
      </c>
      <c r="V426" s="8"/>
      <c r="W426" s="8"/>
      <c r="X426" s="4" t="s">
        <v>30</v>
      </c>
      <c r="Y426" s="4" t="s">
        <v>30</v>
      </c>
      <c r="Z426" s="8" t="s">
        <v>68</v>
      </c>
      <c r="AA426" s="8" t="s">
        <v>68</v>
      </c>
      <c r="AB426" s="8" t="s">
        <v>68</v>
      </c>
      <c r="AC426" s="8" t="s">
        <v>261</v>
      </c>
      <c r="AD426" s="8" t="s">
        <v>60</v>
      </c>
      <c r="AE426" s="8" t="s">
        <v>60</v>
      </c>
      <c r="AF426" s="8" t="s">
        <v>2303</v>
      </c>
      <c r="AG426" s="4" t="s">
        <v>62</v>
      </c>
      <c r="AH426" s="9">
        <v>7.0</v>
      </c>
      <c r="AI426" s="9">
        <v>8.5</v>
      </c>
      <c r="AJ426" s="9">
        <v>10.0</v>
      </c>
      <c r="AK426" s="9">
        <f t="shared" si="1"/>
        <v>25.5</v>
      </c>
      <c r="AL426" s="9">
        <v>1.0</v>
      </c>
      <c r="AM426" s="9">
        <v>18.0</v>
      </c>
      <c r="AN426" s="9">
        <f t="shared" si="5"/>
        <v>18</v>
      </c>
      <c r="AO426" s="9">
        <f t="shared" si="13"/>
        <v>1.330555556</v>
      </c>
      <c r="AP426" s="1"/>
    </row>
    <row r="427" ht="12.75" customHeight="1">
      <c r="A427" s="8" t="s">
        <v>2303</v>
      </c>
      <c r="B427" s="8" t="s">
        <v>2310</v>
      </c>
      <c r="C427" s="4" t="s">
        <v>117</v>
      </c>
      <c r="D427" s="8" t="s">
        <v>45</v>
      </c>
      <c r="E427" s="8" t="s">
        <v>46</v>
      </c>
      <c r="F427" s="8" t="s">
        <v>47</v>
      </c>
      <c r="G427" s="8" t="s">
        <v>2305</v>
      </c>
      <c r="H427" s="8" t="s">
        <v>2285</v>
      </c>
      <c r="I427" s="8" t="s">
        <v>2306</v>
      </c>
      <c r="J427" s="9">
        <v>21.0</v>
      </c>
      <c r="K427" s="9">
        <v>10.0</v>
      </c>
      <c r="L427" s="9">
        <v>2017.0</v>
      </c>
      <c r="M427" s="9">
        <v>7.0</v>
      </c>
      <c r="N427" s="9">
        <v>2.0</v>
      </c>
      <c r="O427" s="9">
        <v>2026.0</v>
      </c>
      <c r="P427" s="8" t="s">
        <v>105</v>
      </c>
      <c r="Q427" s="4" t="s">
        <v>51</v>
      </c>
      <c r="R427" s="4" t="s">
        <v>67</v>
      </c>
      <c r="S427" s="8" t="s">
        <v>67</v>
      </c>
      <c r="T427" s="4" t="s">
        <v>106</v>
      </c>
      <c r="U427" s="9">
        <v>2017.0</v>
      </c>
      <c r="V427" s="8"/>
      <c r="W427" s="8"/>
      <c r="X427" s="4" t="s">
        <v>30</v>
      </c>
      <c r="Y427" s="4" t="s">
        <v>30</v>
      </c>
      <c r="Z427" s="8" t="s">
        <v>68</v>
      </c>
      <c r="AA427" s="8" t="s">
        <v>68</v>
      </c>
      <c r="AB427" s="8" t="s">
        <v>68</v>
      </c>
      <c r="AC427" s="8" t="s">
        <v>261</v>
      </c>
      <c r="AD427" s="8" t="s">
        <v>60</v>
      </c>
      <c r="AE427" s="8" t="s">
        <v>60</v>
      </c>
      <c r="AF427" s="8" t="s">
        <v>2303</v>
      </c>
      <c r="AG427" s="4" t="s">
        <v>62</v>
      </c>
      <c r="AH427" s="9">
        <v>8.0</v>
      </c>
      <c r="AI427" s="9">
        <v>8.5</v>
      </c>
      <c r="AJ427" s="9">
        <v>7.0</v>
      </c>
      <c r="AK427" s="9">
        <f t="shared" si="1"/>
        <v>23.5</v>
      </c>
      <c r="AL427" s="9">
        <v>1.0</v>
      </c>
      <c r="AM427" s="9">
        <v>18.0</v>
      </c>
      <c r="AN427" s="9">
        <f t="shared" si="5"/>
        <v>18</v>
      </c>
      <c r="AO427" s="9">
        <f t="shared" si="13"/>
        <v>1.230555556</v>
      </c>
      <c r="AP427" s="1"/>
    </row>
    <row r="428" ht="12.75" customHeight="1">
      <c r="A428" s="8" t="s">
        <v>2303</v>
      </c>
      <c r="B428" s="8" t="s">
        <v>2311</v>
      </c>
      <c r="C428" s="4" t="s">
        <v>117</v>
      </c>
      <c r="D428" s="8" t="s">
        <v>45</v>
      </c>
      <c r="E428" s="8" t="s">
        <v>46</v>
      </c>
      <c r="F428" s="8" t="s">
        <v>47</v>
      </c>
      <c r="G428" s="8" t="s">
        <v>2305</v>
      </c>
      <c r="H428" s="8" t="s">
        <v>2285</v>
      </c>
      <c r="I428" s="8" t="s">
        <v>2306</v>
      </c>
      <c r="J428" s="9">
        <v>21.0</v>
      </c>
      <c r="K428" s="9">
        <v>10.0</v>
      </c>
      <c r="L428" s="9">
        <v>2017.0</v>
      </c>
      <c r="M428" s="9">
        <v>8.0</v>
      </c>
      <c r="N428" s="9">
        <v>2.0</v>
      </c>
      <c r="O428" s="9">
        <v>2026.0</v>
      </c>
      <c r="P428" s="8" t="s">
        <v>105</v>
      </c>
      <c r="Q428" s="4" t="s">
        <v>51</v>
      </c>
      <c r="R428" s="4" t="s">
        <v>67</v>
      </c>
      <c r="S428" s="8" t="s">
        <v>67</v>
      </c>
      <c r="T428" s="4" t="s">
        <v>106</v>
      </c>
      <c r="U428" s="9">
        <v>2017.0</v>
      </c>
      <c r="V428" s="8"/>
      <c r="W428" s="8"/>
      <c r="X428" s="4" t="s">
        <v>30</v>
      </c>
      <c r="Y428" s="4" t="s">
        <v>30</v>
      </c>
      <c r="Z428" s="8" t="s">
        <v>68</v>
      </c>
      <c r="AA428" s="8" t="s">
        <v>68</v>
      </c>
      <c r="AB428" s="8" t="s">
        <v>68</v>
      </c>
      <c r="AC428" s="8" t="s">
        <v>261</v>
      </c>
      <c r="AD428" s="8" t="s">
        <v>60</v>
      </c>
      <c r="AE428" s="8" t="s">
        <v>60</v>
      </c>
      <c r="AF428" s="8" t="s">
        <v>2303</v>
      </c>
      <c r="AG428" s="4" t="s">
        <v>62</v>
      </c>
      <c r="AH428" s="9">
        <v>9.0</v>
      </c>
      <c r="AI428" s="9">
        <v>9.0</v>
      </c>
      <c r="AJ428" s="9">
        <v>10.0</v>
      </c>
      <c r="AK428" s="9">
        <f t="shared" si="1"/>
        <v>28</v>
      </c>
      <c r="AL428" s="9">
        <v>1.0</v>
      </c>
      <c r="AM428" s="9">
        <v>18.0</v>
      </c>
      <c r="AN428" s="9">
        <f t="shared" si="5"/>
        <v>18</v>
      </c>
      <c r="AO428" s="9">
        <f t="shared" si="13"/>
        <v>1.455555556</v>
      </c>
      <c r="AP428" s="1"/>
    </row>
    <row r="429" ht="12.75" customHeight="1">
      <c r="A429" s="4" t="s">
        <v>930</v>
      </c>
      <c r="B429" s="4" t="s">
        <v>931</v>
      </c>
      <c r="C429" s="4" t="s">
        <v>44</v>
      </c>
      <c r="D429" s="4" t="s">
        <v>99</v>
      </c>
      <c r="E429" s="4" t="s">
        <v>100</v>
      </c>
      <c r="F429" s="4" t="s">
        <v>101</v>
      </c>
      <c r="G429" s="4" t="s">
        <v>2312</v>
      </c>
      <c r="H429" s="4" t="s">
        <v>65</v>
      </c>
      <c r="I429" s="4" t="s">
        <v>428</v>
      </c>
      <c r="J429" s="4">
        <v>21.0</v>
      </c>
      <c r="K429" s="4">
        <v>20.0</v>
      </c>
      <c r="L429" s="4">
        <v>2025.0</v>
      </c>
      <c r="M429" s="4">
        <v>9.0</v>
      </c>
      <c r="N429" s="4">
        <v>2.0</v>
      </c>
      <c r="O429" s="4">
        <v>2026.0</v>
      </c>
      <c r="P429" s="4" t="s">
        <v>105</v>
      </c>
      <c r="Q429" s="4" t="s">
        <v>51</v>
      </c>
      <c r="R429" s="4" t="s">
        <v>52</v>
      </c>
      <c r="S429" s="4" t="s">
        <v>106</v>
      </c>
      <c r="T429" s="4" t="s">
        <v>106</v>
      </c>
      <c r="U429" s="4">
        <v>2015.0</v>
      </c>
      <c r="V429" s="4">
        <v>11.0</v>
      </c>
      <c r="W429" s="4">
        <v>16.0</v>
      </c>
      <c r="X429" s="4" t="s">
        <v>55</v>
      </c>
      <c r="Y429" s="4" t="s">
        <v>99</v>
      </c>
      <c r="Z429" s="4" t="s">
        <v>101</v>
      </c>
      <c r="AA429" s="4" t="s">
        <v>1641</v>
      </c>
      <c r="AB429" s="4" t="s">
        <v>1641</v>
      </c>
      <c r="AC429" s="4" t="s">
        <v>2313</v>
      </c>
      <c r="AD429" s="4" t="s">
        <v>1889</v>
      </c>
      <c r="AE429" s="4" t="s">
        <v>2314</v>
      </c>
      <c r="AF429" s="4" t="s">
        <v>1687</v>
      </c>
      <c r="AG429" s="4" t="s">
        <v>62</v>
      </c>
      <c r="AH429" s="13">
        <v>8.0</v>
      </c>
      <c r="AI429" s="9">
        <v>9.0</v>
      </c>
      <c r="AJ429" s="13">
        <v>8.0</v>
      </c>
      <c r="AK429" s="9">
        <f t="shared" si="1"/>
        <v>25</v>
      </c>
      <c r="AL429" s="9">
        <v>1.0</v>
      </c>
      <c r="AM429" s="13">
        <v>318.0</v>
      </c>
      <c r="AN429" s="9">
        <f t="shared" si="5"/>
        <v>318</v>
      </c>
      <c r="AO429" s="9">
        <f t="shared" si="13"/>
        <v>1.253144654</v>
      </c>
      <c r="AP429" s="4" t="s">
        <v>932</v>
      </c>
    </row>
    <row r="430" ht="12.75" customHeight="1">
      <c r="A430" s="4" t="s">
        <v>1304</v>
      </c>
      <c r="B430" s="4" t="s">
        <v>1306</v>
      </c>
      <c r="C430" s="4" t="s">
        <v>44</v>
      </c>
      <c r="D430" s="1" t="s">
        <v>45</v>
      </c>
      <c r="E430" s="4" t="s">
        <v>124</v>
      </c>
      <c r="F430" s="1" t="s">
        <v>126</v>
      </c>
      <c r="G430" s="4" t="s">
        <v>2315</v>
      </c>
      <c r="H430" s="4" t="s">
        <v>48</v>
      </c>
      <c r="I430" s="4" t="s">
        <v>382</v>
      </c>
      <c r="J430" s="4">
        <v>20.0</v>
      </c>
      <c r="K430" s="4">
        <v>70.0</v>
      </c>
      <c r="L430" s="4">
        <v>1974.0</v>
      </c>
      <c r="M430" s="4">
        <v>17.0</v>
      </c>
      <c r="N430" s="4">
        <v>2.0</v>
      </c>
      <c r="O430" s="4">
        <v>2026.0</v>
      </c>
      <c r="P430" s="1" t="s">
        <v>105</v>
      </c>
      <c r="Q430" s="4" t="s">
        <v>51</v>
      </c>
      <c r="R430" s="1" t="s">
        <v>52</v>
      </c>
      <c r="S430" s="1" t="s">
        <v>138</v>
      </c>
      <c r="T430" s="4" t="s">
        <v>2316</v>
      </c>
      <c r="U430" s="4">
        <v>1948.0</v>
      </c>
      <c r="V430" s="1"/>
      <c r="W430" s="1"/>
      <c r="X430" s="4" t="s">
        <v>55</v>
      </c>
      <c r="Y430" s="4" t="s">
        <v>45</v>
      </c>
      <c r="Z430" s="1" t="s">
        <v>126</v>
      </c>
      <c r="AA430" s="1" t="s">
        <v>1674</v>
      </c>
      <c r="AB430" s="4" t="s">
        <v>1936</v>
      </c>
      <c r="AC430" s="4" t="s">
        <v>1813</v>
      </c>
      <c r="AD430" s="4" t="s">
        <v>1814</v>
      </c>
      <c r="AE430" s="4" t="s">
        <v>60</v>
      </c>
      <c r="AF430" s="4" t="s">
        <v>1687</v>
      </c>
      <c r="AG430" s="4" t="s">
        <v>62</v>
      </c>
      <c r="AH430" s="1">
        <v>9.0</v>
      </c>
      <c r="AI430" s="1">
        <v>9.0</v>
      </c>
      <c r="AJ430" s="1">
        <v>8.0</v>
      </c>
      <c r="AK430" s="1">
        <f t="shared" si="1"/>
        <v>26</v>
      </c>
      <c r="AL430" s="1">
        <v>1.0</v>
      </c>
      <c r="AM430" s="4">
        <v>255.0</v>
      </c>
      <c r="AN430" s="1">
        <f t="shared" si="5"/>
        <v>255</v>
      </c>
      <c r="AO430" s="1">
        <f t="shared" ref="AO430:AO438" si="14">(AH430*5)/100+(AI430*5)/100+(AJ430*5)/100+1/AN430</f>
        <v>1.303921569</v>
      </c>
      <c r="AP430" s="4" t="s">
        <v>1307</v>
      </c>
    </row>
    <row r="431" ht="12.75" customHeight="1">
      <c r="A431" s="4" t="s">
        <v>1487</v>
      </c>
      <c r="B431" s="4" t="s">
        <v>1488</v>
      </c>
      <c r="C431" s="4" t="s">
        <v>44</v>
      </c>
      <c r="D431" s="8" t="s">
        <v>45</v>
      </c>
      <c r="E431" s="8" t="s">
        <v>46</v>
      </c>
      <c r="F431" s="8" t="s">
        <v>47</v>
      </c>
      <c r="G431" s="4" t="s">
        <v>1488</v>
      </c>
      <c r="H431" s="4" t="s">
        <v>48</v>
      </c>
      <c r="I431" s="4" t="s">
        <v>1997</v>
      </c>
      <c r="J431" s="4">
        <v>21.0</v>
      </c>
      <c r="K431" s="4">
        <v>20.0</v>
      </c>
      <c r="L431" s="4">
        <v>2025.0</v>
      </c>
      <c r="M431" s="4">
        <v>19.0</v>
      </c>
      <c r="N431" s="4">
        <v>2.0</v>
      </c>
      <c r="O431" s="4">
        <v>2026.0</v>
      </c>
      <c r="P431" s="1" t="s">
        <v>105</v>
      </c>
      <c r="Q431" s="4" t="s">
        <v>51</v>
      </c>
      <c r="R431" s="1" t="s">
        <v>52</v>
      </c>
      <c r="S431" s="4" t="s">
        <v>106</v>
      </c>
      <c r="T431" s="4" t="s">
        <v>75</v>
      </c>
      <c r="U431" s="4">
        <v>1984.0</v>
      </c>
      <c r="V431" s="4">
        <v>4.0</v>
      </c>
      <c r="W431" s="4">
        <v>25.0</v>
      </c>
      <c r="X431" s="4" t="s">
        <v>55</v>
      </c>
      <c r="Y431" s="4" t="s">
        <v>45</v>
      </c>
      <c r="Z431" s="4" t="s">
        <v>47</v>
      </c>
      <c r="AA431" s="4" t="s">
        <v>56</v>
      </c>
      <c r="AB431" s="4" t="s">
        <v>56</v>
      </c>
      <c r="AC431" s="4" t="s">
        <v>2202</v>
      </c>
      <c r="AD431" s="4" t="s">
        <v>2209</v>
      </c>
      <c r="AE431" s="4" t="s">
        <v>60</v>
      </c>
      <c r="AF431" s="4" t="s">
        <v>1687</v>
      </c>
      <c r="AG431" s="4" t="s">
        <v>62</v>
      </c>
      <c r="AH431" s="4">
        <v>8.0</v>
      </c>
      <c r="AI431" s="1">
        <v>9.0</v>
      </c>
      <c r="AJ431" s="1">
        <v>8.0</v>
      </c>
      <c r="AK431" s="1">
        <f t="shared" si="1"/>
        <v>25</v>
      </c>
      <c r="AL431" s="1">
        <v>1.0</v>
      </c>
      <c r="AM431" s="4">
        <v>237.0</v>
      </c>
      <c r="AN431" s="1">
        <f t="shared" si="5"/>
        <v>237</v>
      </c>
      <c r="AO431" s="1">
        <f t="shared" si="14"/>
        <v>1.254219409</v>
      </c>
      <c r="AP431" s="4" t="s">
        <v>1489</v>
      </c>
    </row>
    <row r="432" ht="12.75" customHeight="1">
      <c r="A432" s="4" t="s">
        <v>1208</v>
      </c>
      <c r="B432" s="4" t="s">
        <v>1210</v>
      </c>
      <c r="C432" s="4" t="s">
        <v>44</v>
      </c>
      <c r="D432" s="4" t="s">
        <v>99</v>
      </c>
      <c r="E432" s="4" t="s">
        <v>199</v>
      </c>
      <c r="F432" s="4" t="s">
        <v>202</v>
      </c>
      <c r="G432" s="4" t="s">
        <v>2317</v>
      </c>
      <c r="H432" s="4" t="s">
        <v>48</v>
      </c>
      <c r="I432" s="4" t="s">
        <v>2125</v>
      </c>
      <c r="J432" s="4">
        <v>21.0</v>
      </c>
      <c r="K432" s="4">
        <v>20.0</v>
      </c>
      <c r="L432" s="4">
        <v>2025.0</v>
      </c>
      <c r="M432" s="4">
        <v>28.0</v>
      </c>
      <c r="N432" s="4">
        <v>2.0</v>
      </c>
      <c r="O432" s="4">
        <v>2026.0</v>
      </c>
      <c r="P432" s="4" t="s">
        <v>105</v>
      </c>
      <c r="Q432" s="4" t="s">
        <v>51</v>
      </c>
      <c r="R432" s="4" t="s">
        <v>52</v>
      </c>
      <c r="S432" s="4" t="s">
        <v>106</v>
      </c>
      <c r="T432" s="4" t="s">
        <v>2147</v>
      </c>
      <c r="U432" s="4">
        <v>2025.0</v>
      </c>
      <c r="V432" s="4">
        <v>10.0</v>
      </c>
      <c r="W432" s="4">
        <v>13.0</v>
      </c>
      <c r="X432" s="4" t="s">
        <v>55</v>
      </c>
      <c r="Y432" s="4" t="s">
        <v>99</v>
      </c>
      <c r="Z432" s="4" t="s">
        <v>202</v>
      </c>
      <c r="AA432" s="4" t="s">
        <v>2318</v>
      </c>
      <c r="AB432" s="4" t="s">
        <v>2319</v>
      </c>
      <c r="AC432" s="4" t="s">
        <v>2202</v>
      </c>
      <c r="AD432" s="4" t="s">
        <v>2320</v>
      </c>
      <c r="AE432" s="4" t="s">
        <v>60</v>
      </c>
      <c r="AF432" s="4" t="s">
        <v>1687</v>
      </c>
      <c r="AG432" s="4" t="s">
        <v>62</v>
      </c>
      <c r="AH432" s="4">
        <v>9.0</v>
      </c>
      <c r="AI432" s="4">
        <v>8.0</v>
      </c>
      <c r="AJ432" s="4">
        <v>9.0</v>
      </c>
      <c r="AK432" s="1">
        <f t="shared" si="1"/>
        <v>26</v>
      </c>
      <c r="AL432" s="1">
        <v>1.0</v>
      </c>
      <c r="AM432" s="4">
        <v>254.0</v>
      </c>
      <c r="AN432" s="1">
        <f t="shared" si="5"/>
        <v>254</v>
      </c>
      <c r="AO432" s="1">
        <f t="shared" si="14"/>
        <v>1.303937008</v>
      </c>
      <c r="AP432" s="4" t="s">
        <v>1213</v>
      </c>
    </row>
    <row r="433" ht="12.75" customHeight="1">
      <c r="A433" s="4" t="s">
        <v>1249</v>
      </c>
      <c r="B433" s="4" t="s">
        <v>1250</v>
      </c>
      <c r="C433" s="4" t="s">
        <v>44</v>
      </c>
      <c r="D433" s="8" t="s">
        <v>45</v>
      </c>
      <c r="E433" s="8" t="s">
        <v>46</v>
      </c>
      <c r="F433" s="8" t="s">
        <v>47</v>
      </c>
      <c r="G433" s="4" t="s">
        <v>1250</v>
      </c>
      <c r="H433" s="4" t="s">
        <v>65</v>
      </c>
      <c r="I433" s="4" t="s">
        <v>2321</v>
      </c>
      <c r="J433" s="4">
        <v>21.0</v>
      </c>
      <c r="K433" s="4">
        <v>20.0</v>
      </c>
      <c r="L433" s="4">
        <v>2025.0</v>
      </c>
      <c r="M433" s="4">
        <v>3.0</v>
      </c>
      <c r="N433" s="4">
        <v>3.0</v>
      </c>
      <c r="O433" s="4">
        <v>2026.0</v>
      </c>
      <c r="P433" s="4" t="s">
        <v>105</v>
      </c>
      <c r="Q433" s="4" t="s">
        <v>132</v>
      </c>
      <c r="R433" s="4" t="s">
        <v>135</v>
      </c>
      <c r="S433" s="4" t="s">
        <v>204</v>
      </c>
      <c r="T433" s="4" t="s">
        <v>75</v>
      </c>
      <c r="U433" s="4">
        <v>1980.0</v>
      </c>
      <c r="V433" s="1"/>
      <c r="W433" s="1"/>
      <c r="X433" s="4" t="s">
        <v>55</v>
      </c>
      <c r="Y433" s="4" t="s">
        <v>45</v>
      </c>
      <c r="Z433" s="4" t="s">
        <v>47</v>
      </c>
      <c r="AA433" s="4" t="s">
        <v>559</v>
      </c>
      <c r="AB433" s="4" t="s">
        <v>560</v>
      </c>
      <c r="AC433" s="4" t="s">
        <v>92</v>
      </c>
      <c r="AD433" s="4" t="s">
        <v>2209</v>
      </c>
      <c r="AE433" s="4" t="s">
        <v>60</v>
      </c>
      <c r="AF433" s="4" t="s">
        <v>2322</v>
      </c>
      <c r="AG433" s="4" t="s">
        <v>62</v>
      </c>
      <c r="AH433" s="4">
        <v>5.0</v>
      </c>
      <c r="AI433" s="4">
        <v>5.0</v>
      </c>
      <c r="AJ433" s="4">
        <v>5.0</v>
      </c>
      <c r="AK433" s="1">
        <f t="shared" si="1"/>
        <v>15</v>
      </c>
      <c r="AL433" s="1">
        <v>1.0</v>
      </c>
      <c r="AM433" s="4">
        <v>12.0</v>
      </c>
      <c r="AN433" s="1">
        <f t="shared" si="5"/>
        <v>12</v>
      </c>
      <c r="AO433" s="1">
        <f t="shared" si="14"/>
        <v>0.8333333333</v>
      </c>
      <c r="AP433" s="1"/>
    </row>
    <row r="434" ht="12.75" customHeight="1">
      <c r="A434" s="4" t="s">
        <v>1249</v>
      </c>
      <c r="B434" s="4" t="s">
        <v>1252</v>
      </c>
      <c r="C434" s="4" t="s">
        <v>44</v>
      </c>
      <c r="D434" s="8" t="s">
        <v>45</v>
      </c>
      <c r="E434" s="8" t="s">
        <v>46</v>
      </c>
      <c r="F434" s="8" t="s">
        <v>47</v>
      </c>
      <c r="G434" s="4" t="s">
        <v>1252</v>
      </c>
      <c r="H434" s="4" t="s">
        <v>65</v>
      </c>
      <c r="I434" s="4" t="s">
        <v>2321</v>
      </c>
      <c r="J434" s="4">
        <v>21.0</v>
      </c>
      <c r="K434" s="4">
        <v>20.0</v>
      </c>
      <c r="L434" s="4">
        <v>2025.0</v>
      </c>
      <c r="M434" s="4">
        <v>3.0</v>
      </c>
      <c r="N434" s="4">
        <v>3.0</v>
      </c>
      <c r="O434" s="4">
        <v>2026.0</v>
      </c>
      <c r="P434" s="4" t="s">
        <v>105</v>
      </c>
      <c r="Q434" s="4" t="s">
        <v>132</v>
      </c>
      <c r="R434" s="4" t="s">
        <v>135</v>
      </c>
      <c r="S434" s="4" t="s">
        <v>136</v>
      </c>
      <c r="T434" s="4" t="s">
        <v>2147</v>
      </c>
      <c r="U434" s="4">
        <v>2025.0</v>
      </c>
      <c r="V434" s="1"/>
      <c r="W434" s="1"/>
      <c r="X434" s="4" t="s">
        <v>55</v>
      </c>
      <c r="Y434" s="4" t="s">
        <v>45</v>
      </c>
      <c r="Z434" s="4" t="s">
        <v>47</v>
      </c>
      <c r="AA434" s="4" t="s">
        <v>559</v>
      </c>
      <c r="AB434" s="4" t="s">
        <v>560</v>
      </c>
      <c r="AC434" s="4" t="s">
        <v>58</v>
      </c>
      <c r="AD434" s="4" t="s">
        <v>2209</v>
      </c>
      <c r="AE434" s="4" t="s">
        <v>60</v>
      </c>
      <c r="AF434" s="4" t="s">
        <v>2322</v>
      </c>
      <c r="AG434" s="4" t="s">
        <v>62</v>
      </c>
      <c r="AH434" s="4">
        <v>5.0</v>
      </c>
      <c r="AI434" s="4">
        <v>7.0</v>
      </c>
      <c r="AJ434" s="4">
        <v>5.0</v>
      </c>
      <c r="AK434" s="1">
        <f t="shared" si="1"/>
        <v>17</v>
      </c>
      <c r="AL434" s="1">
        <v>1.0</v>
      </c>
      <c r="AM434" s="4">
        <v>16.0</v>
      </c>
      <c r="AN434" s="1">
        <f t="shared" si="5"/>
        <v>16</v>
      </c>
      <c r="AO434" s="1">
        <f t="shared" si="14"/>
        <v>0.9125</v>
      </c>
      <c r="AP434" s="1"/>
    </row>
    <row r="435" ht="12.75" customHeight="1">
      <c r="A435" s="4" t="s">
        <v>682</v>
      </c>
      <c r="B435" s="4" t="s">
        <v>683</v>
      </c>
      <c r="C435" s="4" t="s">
        <v>44</v>
      </c>
      <c r="D435" s="1" t="s">
        <v>45</v>
      </c>
      <c r="E435" s="4" t="s">
        <v>124</v>
      </c>
      <c r="F435" s="1" t="s">
        <v>126</v>
      </c>
      <c r="G435" s="4" t="s">
        <v>2323</v>
      </c>
      <c r="H435" s="4" t="s">
        <v>48</v>
      </c>
      <c r="I435" s="4" t="s">
        <v>1679</v>
      </c>
      <c r="J435" s="4">
        <v>21.0</v>
      </c>
      <c r="K435" s="4">
        <v>20.0</v>
      </c>
      <c r="L435" s="4">
        <v>2024.0</v>
      </c>
      <c r="M435" s="4">
        <v>4.0</v>
      </c>
      <c r="N435" s="4">
        <v>3.0</v>
      </c>
      <c r="O435" s="4">
        <v>2026.0</v>
      </c>
      <c r="P435" s="4" t="s">
        <v>105</v>
      </c>
      <c r="Q435" s="4" t="s">
        <v>51</v>
      </c>
      <c r="R435" s="4" t="s">
        <v>52</v>
      </c>
      <c r="S435" s="4" t="s">
        <v>270</v>
      </c>
      <c r="T435" s="4" t="s">
        <v>2147</v>
      </c>
      <c r="U435" s="4">
        <v>2024.0</v>
      </c>
      <c r="V435" s="1"/>
      <c r="W435" s="1"/>
      <c r="X435" s="4" t="s">
        <v>55</v>
      </c>
      <c r="Y435" s="4" t="s">
        <v>45</v>
      </c>
      <c r="Z435" s="4" t="s">
        <v>126</v>
      </c>
      <c r="AA435" s="4" t="s">
        <v>1243</v>
      </c>
      <c r="AB435" s="4" t="s">
        <v>2324</v>
      </c>
      <c r="AC435" s="4" t="s">
        <v>561</v>
      </c>
      <c r="AD435" s="4" t="s">
        <v>1873</v>
      </c>
      <c r="AE435" s="4" t="s">
        <v>60</v>
      </c>
      <c r="AF435" s="4" t="s">
        <v>1687</v>
      </c>
      <c r="AG435" s="4" t="s">
        <v>62</v>
      </c>
      <c r="AH435" s="4">
        <v>8.0</v>
      </c>
      <c r="AI435" s="4">
        <v>8.0</v>
      </c>
      <c r="AJ435" s="4">
        <v>7.0</v>
      </c>
      <c r="AK435" s="1">
        <f t="shared" si="1"/>
        <v>23</v>
      </c>
      <c r="AL435" s="1">
        <v>1.0</v>
      </c>
      <c r="AM435" s="4">
        <v>396.0</v>
      </c>
      <c r="AN435" s="1">
        <f t="shared" si="5"/>
        <v>396</v>
      </c>
      <c r="AO435" s="1">
        <f t="shared" si="14"/>
        <v>1.152525253</v>
      </c>
      <c r="AP435" s="4" t="s">
        <v>684</v>
      </c>
    </row>
    <row r="436" ht="12.75" customHeight="1">
      <c r="A436" s="4" t="s">
        <v>1139</v>
      </c>
      <c r="B436" s="4" t="s">
        <v>1141</v>
      </c>
      <c r="C436" s="4" t="s">
        <v>44</v>
      </c>
      <c r="D436" s="8" t="s">
        <v>45</v>
      </c>
      <c r="E436" s="8" t="s">
        <v>46</v>
      </c>
      <c r="F436" s="8" t="s">
        <v>47</v>
      </c>
      <c r="G436" s="4" t="s">
        <v>1250</v>
      </c>
      <c r="H436" s="4" t="s">
        <v>65</v>
      </c>
      <c r="I436" s="4" t="s">
        <v>2321</v>
      </c>
      <c r="J436" s="4">
        <v>21.0</v>
      </c>
      <c r="K436" s="4">
        <v>20.0</v>
      </c>
      <c r="L436" s="4">
        <v>2025.0</v>
      </c>
      <c r="M436" s="4">
        <v>6.0</v>
      </c>
      <c r="N436" s="4">
        <v>3.0</v>
      </c>
      <c r="O436" s="4">
        <v>2026.0</v>
      </c>
      <c r="P436" s="4" t="s">
        <v>105</v>
      </c>
      <c r="Q436" s="4" t="s">
        <v>132</v>
      </c>
      <c r="R436" s="4" t="s">
        <v>135</v>
      </c>
      <c r="S436" s="4" t="s">
        <v>136</v>
      </c>
      <c r="T436" s="4" t="s">
        <v>91</v>
      </c>
      <c r="U436" s="4">
        <v>1995.0</v>
      </c>
      <c r="V436" s="1"/>
      <c r="W436" s="1"/>
      <c r="X436" s="4" t="s">
        <v>55</v>
      </c>
      <c r="Y436" s="4" t="s">
        <v>45</v>
      </c>
      <c r="Z436" s="4" t="s">
        <v>47</v>
      </c>
      <c r="AA436" s="4" t="s">
        <v>559</v>
      </c>
      <c r="AB436" s="4" t="s">
        <v>2325</v>
      </c>
      <c r="AC436" s="4" t="s">
        <v>92</v>
      </c>
      <c r="AD436" s="4" t="s">
        <v>2209</v>
      </c>
      <c r="AE436" s="4" t="s">
        <v>60</v>
      </c>
      <c r="AF436" s="4" t="s">
        <v>2322</v>
      </c>
      <c r="AG436" s="4" t="s">
        <v>62</v>
      </c>
      <c r="AH436" s="4">
        <v>5.0</v>
      </c>
      <c r="AI436" s="4">
        <v>6.0</v>
      </c>
      <c r="AJ436" s="4">
        <v>5.0</v>
      </c>
      <c r="AK436" s="1">
        <f t="shared" si="1"/>
        <v>16</v>
      </c>
      <c r="AL436" s="1">
        <v>1.0</v>
      </c>
      <c r="AM436" s="4">
        <v>16.0</v>
      </c>
      <c r="AN436" s="1">
        <f t="shared" si="5"/>
        <v>16</v>
      </c>
      <c r="AO436" s="1">
        <f t="shared" si="14"/>
        <v>0.8625</v>
      </c>
      <c r="AP436" s="1"/>
    </row>
    <row r="437" ht="12.75" customHeight="1">
      <c r="A437" s="4" t="s">
        <v>1107</v>
      </c>
      <c r="B437" s="4" t="s">
        <v>1108</v>
      </c>
      <c r="C437" s="4" t="s">
        <v>44</v>
      </c>
      <c r="D437" s="8" t="s">
        <v>45</v>
      </c>
      <c r="E437" s="8" t="s">
        <v>46</v>
      </c>
      <c r="F437" s="8" t="s">
        <v>47</v>
      </c>
      <c r="G437" s="4" t="s">
        <v>1108</v>
      </c>
      <c r="H437" s="4" t="s">
        <v>65</v>
      </c>
      <c r="I437" s="4" t="s">
        <v>2321</v>
      </c>
      <c r="J437" s="4">
        <v>21.0</v>
      </c>
      <c r="K437" s="4">
        <v>20.0</v>
      </c>
      <c r="L437" s="4">
        <v>2025.0</v>
      </c>
      <c r="M437" s="4">
        <v>8.0</v>
      </c>
      <c r="N437" s="4">
        <v>3.0</v>
      </c>
      <c r="O437" s="4">
        <v>2026.0</v>
      </c>
      <c r="P437" s="4" t="s">
        <v>105</v>
      </c>
      <c r="Q437" s="4" t="s">
        <v>132</v>
      </c>
      <c r="R437" s="4" t="s">
        <v>135</v>
      </c>
      <c r="S437" s="4" t="s">
        <v>136</v>
      </c>
      <c r="T437" s="4" t="s">
        <v>91</v>
      </c>
      <c r="U437" s="4">
        <v>1987.0</v>
      </c>
      <c r="V437" s="1"/>
      <c r="W437" s="1"/>
      <c r="X437" s="4" t="s">
        <v>55</v>
      </c>
      <c r="Y437" s="4" t="s">
        <v>45</v>
      </c>
      <c r="Z437" s="4" t="s">
        <v>47</v>
      </c>
      <c r="AA437" s="4" t="s">
        <v>429</v>
      </c>
      <c r="AB437" s="4" t="s">
        <v>2326</v>
      </c>
      <c r="AC437" s="4" t="s">
        <v>58</v>
      </c>
      <c r="AD437" s="4" t="s">
        <v>2209</v>
      </c>
      <c r="AE437" s="4" t="s">
        <v>60</v>
      </c>
      <c r="AF437" s="4" t="s">
        <v>2322</v>
      </c>
      <c r="AG437" s="4" t="s">
        <v>62</v>
      </c>
      <c r="AH437" s="4">
        <v>5.0</v>
      </c>
      <c r="AI437" s="4">
        <v>7.0</v>
      </c>
      <c r="AJ437" s="4">
        <v>5.0</v>
      </c>
      <c r="AK437" s="1">
        <f t="shared" si="1"/>
        <v>17</v>
      </c>
      <c r="AL437" s="1">
        <v>1.0</v>
      </c>
      <c r="AM437" s="4">
        <v>16.0</v>
      </c>
      <c r="AN437" s="1">
        <f t="shared" si="5"/>
        <v>16</v>
      </c>
      <c r="AO437" s="1">
        <f t="shared" si="14"/>
        <v>0.9125</v>
      </c>
      <c r="AP437" s="1"/>
    </row>
    <row r="438" ht="12.75" customHeight="1">
      <c r="A438" s="4" t="s">
        <v>1259</v>
      </c>
      <c r="B438" s="4" t="s">
        <v>1260</v>
      </c>
      <c r="C438" s="4" t="s">
        <v>44</v>
      </c>
      <c r="D438" s="8" t="s">
        <v>45</v>
      </c>
      <c r="E438" s="8" t="s">
        <v>46</v>
      </c>
      <c r="F438" s="8" t="s">
        <v>47</v>
      </c>
      <c r="G438" s="4" t="s">
        <v>1260</v>
      </c>
      <c r="H438" s="4" t="s">
        <v>48</v>
      </c>
      <c r="I438" s="4" t="s">
        <v>2117</v>
      </c>
      <c r="J438" s="4">
        <v>21.0</v>
      </c>
      <c r="K438" s="4">
        <v>20.0</v>
      </c>
      <c r="L438" s="4">
        <v>2020.0</v>
      </c>
      <c r="M438" s="4">
        <v>18.0</v>
      </c>
      <c r="N438" s="4">
        <v>3.0</v>
      </c>
      <c r="O438" s="4">
        <v>2026.0</v>
      </c>
      <c r="P438" s="4" t="s">
        <v>105</v>
      </c>
      <c r="Q438" s="4" t="s">
        <v>51</v>
      </c>
      <c r="R438" s="4" t="s">
        <v>52</v>
      </c>
      <c r="S438" s="4" t="s">
        <v>106</v>
      </c>
      <c r="T438" s="4" t="s">
        <v>2147</v>
      </c>
      <c r="U438" s="4">
        <v>2026.0</v>
      </c>
      <c r="V438" s="4">
        <v>5.0</v>
      </c>
      <c r="W438" s="1"/>
      <c r="X438" s="4" t="s">
        <v>55</v>
      </c>
      <c r="Y438" s="4" t="s">
        <v>45</v>
      </c>
      <c r="Z438" s="4" t="s">
        <v>47</v>
      </c>
      <c r="AA438" s="4" t="s">
        <v>2327</v>
      </c>
      <c r="AB438" s="4" t="s">
        <v>2328</v>
      </c>
      <c r="AC438" s="4" t="s">
        <v>2257</v>
      </c>
      <c r="AD438" s="4" t="s">
        <v>2329</v>
      </c>
      <c r="AE438" s="4" t="s">
        <v>60</v>
      </c>
      <c r="AF438" s="4" t="s">
        <v>1687</v>
      </c>
      <c r="AG438" s="4" t="s">
        <v>62</v>
      </c>
      <c r="AH438" s="4">
        <v>8.0</v>
      </c>
      <c r="AI438" s="4">
        <v>9.0</v>
      </c>
      <c r="AJ438" s="4">
        <v>8.0</v>
      </c>
      <c r="AK438" s="1">
        <f t="shared" si="1"/>
        <v>25</v>
      </c>
      <c r="AL438" s="1">
        <v>1.0</v>
      </c>
      <c r="AM438" s="4">
        <v>279.0</v>
      </c>
      <c r="AN438" s="1">
        <f t="shared" si="5"/>
        <v>279</v>
      </c>
      <c r="AO438" s="1">
        <f t="shared" si="14"/>
        <v>1.253584229</v>
      </c>
      <c r="AP438" s="4" t="s">
        <v>1261</v>
      </c>
    </row>
    <row r="439" ht="12.75" customHeight="1">
      <c r="A439" s="4" t="s">
        <v>2330</v>
      </c>
      <c r="B439" s="4" t="s">
        <v>2331</v>
      </c>
      <c r="C439" s="4" t="s">
        <v>117</v>
      </c>
      <c r="D439" s="4" t="s">
        <v>99</v>
      </c>
      <c r="E439" s="4" t="s">
        <v>100</v>
      </c>
      <c r="F439" s="4" t="s">
        <v>101</v>
      </c>
      <c r="G439" s="4" t="s">
        <v>2332</v>
      </c>
      <c r="H439" s="4" t="s">
        <v>65</v>
      </c>
      <c r="I439" s="4" t="s">
        <v>2333</v>
      </c>
      <c r="J439" s="4">
        <v>21.0</v>
      </c>
      <c r="K439" s="4">
        <v>20.0</v>
      </c>
      <c r="L439" s="4">
        <v>2026.0</v>
      </c>
      <c r="M439" s="4">
        <v>31.0</v>
      </c>
      <c r="N439" s="4">
        <v>3.0</v>
      </c>
      <c r="O439" s="4">
        <v>2026.0</v>
      </c>
      <c r="P439" s="4" t="s">
        <v>105</v>
      </c>
      <c r="Q439" s="4" t="s">
        <v>132</v>
      </c>
      <c r="R439" s="4" t="s">
        <v>132</v>
      </c>
      <c r="S439" s="8" t="s">
        <v>53</v>
      </c>
      <c r="T439" s="4" t="s">
        <v>2147</v>
      </c>
      <c r="U439" s="4">
        <v>2026.0</v>
      </c>
      <c r="V439" s="1"/>
      <c r="W439" s="1"/>
      <c r="X439" s="4" t="s">
        <v>30</v>
      </c>
      <c r="Y439" s="4" t="s">
        <v>30</v>
      </c>
      <c r="Z439" s="8" t="s">
        <v>68</v>
      </c>
      <c r="AA439" s="4" t="s">
        <v>2334</v>
      </c>
      <c r="AB439" s="4" t="s">
        <v>2239</v>
      </c>
      <c r="AC439" s="4" t="s">
        <v>58</v>
      </c>
      <c r="AD439" s="4" t="s">
        <v>60</v>
      </c>
      <c r="AE439" s="4" t="s">
        <v>2335</v>
      </c>
      <c r="AF439" s="11" t="s">
        <v>2336</v>
      </c>
      <c r="AG439" s="4" t="s">
        <v>62</v>
      </c>
      <c r="AH439" s="13">
        <v>10.0</v>
      </c>
      <c r="AI439" s="13">
        <v>10.0</v>
      </c>
      <c r="AJ439" s="9">
        <v>10.0</v>
      </c>
      <c r="AK439" s="9">
        <f t="shared" si="1"/>
        <v>30</v>
      </c>
      <c r="AL439" s="9">
        <v>1.0</v>
      </c>
      <c r="AM439" s="13">
        <v>67.0</v>
      </c>
      <c r="AN439" s="9">
        <f t="shared" si="5"/>
        <v>67</v>
      </c>
      <c r="AO439" s="9">
        <f>(AH439*5)/100+(AI439*5)/100+(AJ439*5)/100+1/AN439</f>
        <v>1.514925373</v>
      </c>
      <c r="AP439" s="1"/>
    </row>
    <row r="440" ht="12.75" customHeight="1">
      <c r="A440" s="4" t="s">
        <v>2337</v>
      </c>
      <c r="B440" s="4" t="s">
        <v>2338</v>
      </c>
      <c r="C440" s="4" t="s">
        <v>117</v>
      </c>
      <c r="D440" s="8" t="s">
        <v>45</v>
      </c>
      <c r="E440" s="8" t="s">
        <v>46</v>
      </c>
      <c r="F440" s="8" t="s">
        <v>47</v>
      </c>
      <c r="G440" s="4" t="s">
        <v>2337</v>
      </c>
      <c r="H440" s="4" t="s">
        <v>65</v>
      </c>
      <c r="I440" s="4" t="s">
        <v>2333</v>
      </c>
      <c r="J440" s="4">
        <v>21.0</v>
      </c>
      <c r="K440" s="4">
        <v>20.0</v>
      </c>
      <c r="L440" s="4">
        <v>2026.0</v>
      </c>
      <c r="M440" s="4">
        <v>2.0</v>
      </c>
      <c r="N440" s="4">
        <v>4.0</v>
      </c>
      <c r="O440" s="4">
        <v>2026.0</v>
      </c>
      <c r="P440" s="4" t="s">
        <v>105</v>
      </c>
      <c r="Q440" s="4" t="s">
        <v>51</v>
      </c>
      <c r="R440" s="4" t="s">
        <v>67</v>
      </c>
      <c r="S440" s="4" t="s">
        <v>67</v>
      </c>
      <c r="T440" s="4" t="s">
        <v>2147</v>
      </c>
      <c r="U440" s="4">
        <v>2026.0</v>
      </c>
      <c r="V440" s="1"/>
      <c r="W440" s="1"/>
      <c r="X440" s="4" t="s">
        <v>30</v>
      </c>
      <c r="Y440" s="4" t="s">
        <v>30</v>
      </c>
      <c r="Z440" s="8" t="s">
        <v>68</v>
      </c>
      <c r="AA440" s="8" t="s">
        <v>68</v>
      </c>
      <c r="AB440" s="4" t="s">
        <v>2339</v>
      </c>
      <c r="AC440" s="4" t="s">
        <v>58</v>
      </c>
      <c r="AD440" s="4" t="s">
        <v>60</v>
      </c>
      <c r="AE440" s="4" t="s">
        <v>60</v>
      </c>
      <c r="AF440" s="4" t="s">
        <v>60</v>
      </c>
      <c r="AG440" s="4" t="s">
        <v>62</v>
      </c>
      <c r="AH440" s="1">
        <v>7.0</v>
      </c>
      <c r="AI440" s="4">
        <v>9.0</v>
      </c>
      <c r="AJ440" s="4">
        <v>10.0</v>
      </c>
      <c r="AK440" s="1">
        <f t="shared" si="1"/>
        <v>26</v>
      </c>
      <c r="AL440" s="4">
        <v>2.0</v>
      </c>
      <c r="AM440" s="4">
        <v>10.0</v>
      </c>
      <c r="AN440" s="1">
        <f t="shared" si="5"/>
        <v>20</v>
      </c>
      <c r="AO440" s="1">
        <f t="shared" ref="AO440:AO441" si="15">(AH440*5)/100+(AI440*5)/100+(AJ440*5)/100+1/AN440</f>
        <v>1.35</v>
      </c>
      <c r="AP440" s="1"/>
    </row>
    <row r="441" ht="12.75" customHeight="1">
      <c r="A441" s="4" t="s">
        <v>640</v>
      </c>
      <c r="B441" s="4" t="s">
        <v>643</v>
      </c>
      <c r="C441" s="4" t="s">
        <v>44</v>
      </c>
      <c r="D441" s="1" t="s">
        <v>45</v>
      </c>
      <c r="E441" s="4" t="s">
        <v>124</v>
      </c>
      <c r="F441" s="1" t="s">
        <v>126</v>
      </c>
      <c r="G441" s="4" t="s">
        <v>2340</v>
      </c>
      <c r="H441" s="4" t="s">
        <v>48</v>
      </c>
      <c r="I441" s="1" t="s">
        <v>2180</v>
      </c>
      <c r="J441" s="4">
        <v>21.0</v>
      </c>
      <c r="K441" s="4">
        <v>20.0</v>
      </c>
      <c r="L441" s="4">
        <v>2025.0</v>
      </c>
      <c r="M441" s="4">
        <v>5.0</v>
      </c>
      <c r="N441" s="4">
        <v>4.0</v>
      </c>
      <c r="O441" s="4">
        <v>2026.0</v>
      </c>
      <c r="P441" s="4" t="s">
        <v>105</v>
      </c>
      <c r="Q441" s="4" t="s">
        <v>51</v>
      </c>
      <c r="R441" s="4" t="s">
        <v>52</v>
      </c>
      <c r="S441" s="4" t="s">
        <v>270</v>
      </c>
      <c r="T441" s="4" t="s">
        <v>2147</v>
      </c>
      <c r="U441" s="4">
        <v>2025.0</v>
      </c>
      <c r="V441" s="1"/>
      <c r="W441" s="1"/>
      <c r="X441" s="4" t="s">
        <v>55</v>
      </c>
      <c r="Y441" s="4" t="s">
        <v>45</v>
      </c>
      <c r="Z441" s="4" t="s">
        <v>126</v>
      </c>
      <c r="AA441" s="1" t="s">
        <v>1674</v>
      </c>
      <c r="AB441" s="4" t="s">
        <v>2341</v>
      </c>
      <c r="AC441" s="4" t="s">
        <v>58</v>
      </c>
      <c r="AD441" s="4" t="s">
        <v>1873</v>
      </c>
      <c r="AE441" s="4" t="s">
        <v>2342</v>
      </c>
      <c r="AF441" s="4" t="s">
        <v>1687</v>
      </c>
      <c r="AG441" s="4" t="s">
        <v>62</v>
      </c>
      <c r="AH441" s="1">
        <v>7.0</v>
      </c>
      <c r="AI441" s="1">
        <v>7.0</v>
      </c>
      <c r="AJ441" s="4">
        <v>8.0</v>
      </c>
      <c r="AK441" s="1">
        <f t="shared" si="1"/>
        <v>22</v>
      </c>
      <c r="AL441" s="1">
        <v>1.0</v>
      </c>
      <c r="AM441" s="4">
        <v>271.0</v>
      </c>
      <c r="AN441" s="1">
        <f t="shared" si="5"/>
        <v>271</v>
      </c>
      <c r="AO441" s="1">
        <f t="shared" si="15"/>
        <v>1.103690037</v>
      </c>
      <c r="AP441" s="4" t="s">
        <v>644</v>
      </c>
    </row>
    <row r="442" ht="12.75" customHeight="1">
      <c r="A442" s="4" t="s">
        <v>2259</v>
      </c>
      <c r="B442" s="4" t="s">
        <v>2343</v>
      </c>
      <c r="C442" s="4" t="s">
        <v>117</v>
      </c>
      <c r="D442" s="8" t="s">
        <v>45</v>
      </c>
      <c r="E442" s="4" t="s">
        <v>124</v>
      </c>
      <c r="F442" s="8" t="s">
        <v>126</v>
      </c>
      <c r="G442" s="11" t="s">
        <v>2344</v>
      </c>
      <c r="H442" s="8" t="s">
        <v>65</v>
      </c>
      <c r="I442" s="8" t="s">
        <v>2262</v>
      </c>
      <c r="J442" s="4">
        <v>21.0</v>
      </c>
      <c r="K442" s="4">
        <v>10.0</v>
      </c>
      <c r="L442" s="4">
        <v>2012.0</v>
      </c>
      <c r="M442" s="4">
        <v>6.0</v>
      </c>
      <c r="N442" s="4">
        <v>4.0</v>
      </c>
      <c r="O442" s="4">
        <v>2026.0</v>
      </c>
      <c r="P442" s="4" t="s">
        <v>2345</v>
      </c>
      <c r="Q442" s="4" t="s">
        <v>51</v>
      </c>
      <c r="R442" s="11" t="s">
        <v>52</v>
      </c>
      <c r="S442" s="8" t="s">
        <v>53</v>
      </c>
      <c r="T442" s="4" t="s">
        <v>106</v>
      </c>
      <c r="U442" s="4">
        <v>2012.0</v>
      </c>
      <c r="V442" s="1"/>
      <c r="W442" s="1"/>
      <c r="X442" s="4" t="s">
        <v>55</v>
      </c>
      <c r="Y442" s="4" t="s">
        <v>45</v>
      </c>
      <c r="Z442" s="8" t="s">
        <v>126</v>
      </c>
      <c r="AA442" s="8" t="s">
        <v>126</v>
      </c>
      <c r="AB442" s="8" t="s">
        <v>126</v>
      </c>
      <c r="AC442" s="8" t="s">
        <v>69</v>
      </c>
      <c r="AD442" s="8" t="s">
        <v>1873</v>
      </c>
      <c r="AE442" s="8" t="s">
        <v>60</v>
      </c>
      <c r="AF442" s="8" t="s">
        <v>2263</v>
      </c>
      <c r="AG442" s="4" t="s">
        <v>62</v>
      </c>
      <c r="AH442" s="13">
        <v>10.0</v>
      </c>
      <c r="AI442" s="13">
        <v>10.0</v>
      </c>
      <c r="AJ442" s="13">
        <v>8.0</v>
      </c>
      <c r="AK442" s="9">
        <f t="shared" si="1"/>
        <v>28</v>
      </c>
      <c r="AL442" s="9">
        <v>1.0</v>
      </c>
      <c r="AM442" s="13">
        <v>217.0</v>
      </c>
      <c r="AN442" s="9">
        <f t="shared" si="5"/>
        <v>217</v>
      </c>
      <c r="AO442" s="9">
        <f t="shared" ref="AO442:AO446" si="16">(AH442*5)/100+(AI442*5)/100+(AJ442*5)/100+1/AN442</f>
        <v>1.404608295</v>
      </c>
      <c r="AP442" s="4" t="s">
        <v>2346</v>
      </c>
    </row>
    <row r="443" ht="12.75" customHeight="1">
      <c r="A443" s="8" t="s">
        <v>2235</v>
      </c>
      <c r="B443" s="8" t="s">
        <v>2236</v>
      </c>
      <c r="C443" s="4" t="s">
        <v>117</v>
      </c>
      <c r="D443" s="8" t="s">
        <v>45</v>
      </c>
      <c r="E443" s="8" t="s">
        <v>46</v>
      </c>
      <c r="F443" s="8" t="s">
        <v>47</v>
      </c>
      <c r="G443" s="8" t="s">
        <v>2236</v>
      </c>
      <c r="H443" s="8" t="s">
        <v>65</v>
      </c>
      <c r="I443" s="8" t="s">
        <v>2237</v>
      </c>
      <c r="J443" s="9">
        <v>21.0</v>
      </c>
      <c r="K443" s="9">
        <v>20.0</v>
      </c>
      <c r="L443" s="9">
        <v>2020.0</v>
      </c>
      <c r="M443" s="13">
        <v>7.0</v>
      </c>
      <c r="N443" s="13">
        <v>4.0</v>
      </c>
      <c r="O443" s="13">
        <v>2026.0</v>
      </c>
      <c r="P443" s="8" t="s">
        <v>105</v>
      </c>
      <c r="Q443" s="4" t="s">
        <v>51</v>
      </c>
      <c r="R443" s="8" t="s">
        <v>67</v>
      </c>
      <c r="S443" s="8" t="s">
        <v>2208</v>
      </c>
      <c r="T443" s="4" t="s">
        <v>106</v>
      </c>
      <c r="U443" s="9">
        <v>1900.0</v>
      </c>
      <c r="V443" s="8"/>
      <c r="W443" s="8"/>
      <c r="X443" s="4" t="s">
        <v>30</v>
      </c>
      <c r="Y443" s="4" t="s">
        <v>30</v>
      </c>
      <c r="Z443" s="8" t="s">
        <v>68</v>
      </c>
      <c r="AA443" s="8" t="s">
        <v>2238</v>
      </c>
      <c r="AB443" s="8" t="s">
        <v>2239</v>
      </c>
      <c r="AC443" s="8" t="s">
        <v>58</v>
      </c>
      <c r="AD443" s="8" t="s">
        <v>2240</v>
      </c>
      <c r="AE443" s="8" t="s">
        <v>60</v>
      </c>
      <c r="AF443" s="8" t="s">
        <v>60</v>
      </c>
      <c r="AG443" s="4" t="s">
        <v>62</v>
      </c>
      <c r="AH443" s="9">
        <v>10.0</v>
      </c>
      <c r="AI443" s="9">
        <v>10.0</v>
      </c>
      <c r="AJ443" s="9">
        <v>10.0</v>
      </c>
      <c r="AK443" s="9">
        <f t="shared" si="1"/>
        <v>30</v>
      </c>
      <c r="AL443" s="9">
        <v>1.0</v>
      </c>
      <c r="AM443" s="9">
        <v>44.0</v>
      </c>
      <c r="AN443" s="9">
        <f t="shared" si="5"/>
        <v>44</v>
      </c>
      <c r="AO443" s="9">
        <f t="shared" si="16"/>
        <v>1.522727273</v>
      </c>
      <c r="AP443" s="4" t="s">
        <v>2347</v>
      </c>
    </row>
    <row r="444" ht="12.75" customHeight="1">
      <c r="A444" s="4" t="s">
        <v>1526</v>
      </c>
      <c r="B444" s="4" t="s">
        <v>1527</v>
      </c>
      <c r="C444" s="4" t="s">
        <v>44</v>
      </c>
      <c r="D444" s="4" t="s">
        <v>99</v>
      </c>
      <c r="E444" s="4" t="s">
        <v>187</v>
      </c>
      <c r="F444" s="4" t="s">
        <v>192</v>
      </c>
      <c r="G444" s="4" t="s">
        <v>2348</v>
      </c>
      <c r="H444" s="4" t="s">
        <v>48</v>
      </c>
      <c r="I444" s="4" t="s">
        <v>2349</v>
      </c>
      <c r="J444" s="4">
        <v>21.0</v>
      </c>
      <c r="K444" s="4">
        <v>10.0</v>
      </c>
      <c r="L444" s="4">
        <v>2017.0</v>
      </c>
      <c r="M444" s="4">
        <v>11.0</v>
      </c>
      <c r="N444" s="4">
        <v>4.0</v>
      </c>
      <c r="O444" s="4">
        <v>2026.0</v>
      </c>
      <c r="P444" s="4" t="s">
        <v>105</v>
      </c>
      <c r="Q444" s="4" t="s">
        <v>51</v>
      </c>
      <c r="R444" s="4" t="s">
        <v>52</v>
      </c>
      <c r="S444" s="4" t="s">
        <v>106</v>
      </c>
      <c r="T444" s="4" t="s">
        <v>495</v>
      </c>
      <c r="U444" s="4">
        <v>2017.0</v>
      </c>
      <c r="V444" s="1"/>
      <c r="W444" s="1"/>
      <c r="X444" s="4" t="s">
        <v>55</v>
      </c>
      <c r="Y444" s="4" t="s">
        <v>99</v>
      </c>
      <c r="Z444" s="4" t="s">
        <v>183</v>
      </c>
      <c r="AA444" s="4" t="s">
        <v>183</v>
      </c>
      <c r="AB444" s="4" t="s">
        <v>183</v>
      </c>
      <c r="AC444" s="4" t="s">
        <v>2202</v>
      </c>
      <c r="AD444" s="4" t="s">
        <v>2201</v>
      </c>
      <c r="AE444" s="4" t="s">
        <v>60</v>
      </c>
      <c r="AF444" s="4" t="s">
        <v>1687</v>
      </c>
      <c r="AG444" s="4" t="s">
        <v>62</v>
      </c>
      <c r="AH444" s="13">
        <v>8.0</v>
      </c>
      <c r="AI444" s="13">
        <v>9.0</v>
      </c>
      <c r="AJ444" s="13">
        <v>8.0</v>
      </c>
      <c r="AK444" s="9">
        <f t="shared" si="1"/>
        <v>25</v>
      </c>
      <c r="AL444" s="9">
        <v>1.0</v>
      </c>
      <c r="AM444" s="13">
        <v>237.0</v>
      </c>
      <c r="AN444" s="9">
        <f t="shared" si="5"/>
        <v>237</v>
      </c>
      <c r="AO444" s="9">
        <f t="shared" si="16"/>
        <v>1.254219409</v>
      </c>
      <c r="AP444" s="4" t="s">
        <v>1528</v>
      </c>
    </row>
    <row r="445" ht="12.75" customHeight="1">
      <c r="A445" s="4" t="s">
        <v>2350</v>
      </c>
      <c r="B445" s="4" t="s">
        <v>2351</v>
      </c>
      <c r="C445" s="4" t="s">
        <v>117</v>
      </c>
      <c r="D445" s="8" t="s">
        <v>45</v>
      </c>
      <c r="E445" s="8" t="s">
        <v>46</v>
      </c>
      <c r="F445" s="8" t="s">
        <v>47</v>
      </c>
      <c r="G445" s="4" t="s">
        <v>2351</v>
      </c>
      <c r="H445" s="4" t="s">
        <v>2206</v>
      </c>
      <c r="I445" s="4" t="s">
        <v>2352</v>
      </c>
      <c r="J445" s="4">
        <v>21.0</v>
      </c>
      <c r="K445" s="4">
        <v>20.0</v>
      </c>
      <c r="L445" s="4">
        <v>2024.0</v>
      </c>
      <c r="M445" s="4">
        <v>11.0</v>
      </c>
      <c r="N445" s="4">
        <v>4.0</v>
      </c>
      <c r="O445" s="4">
        <v>2026.0</v>
      </c>
      <c r="P445" s="4" t="s">
        <v>105</v>
      </c>
      <c r="Q445" s="4" t="s">
        <v>132</v>
      </c>
      <c r="R445" s="4" t="s">
        <v>132</v>
      </c>
      <c r="S445" s="4" t="s">
        <v>67</v>
      </c>
      <c r="T445" s="4" t="s">
        <v>2147</v>
      </c>
      <c r="U445" s="4">
        <v>2024.0</v>
      </c>
      <c r="V445" s="1"/>
      <c r="W445" s="1"/>
      <c r="X445" s="4" t="s">
        <v>55</v>
      </c>
      <c r="Y445" s="4" t="s">
        <v>45</v>
      </c>
      <c r="Z445" s="4" t="s">
        <v>47</v>
      </c>
      <c r="AA445" s="4" t="s">
        <v>559</v>
      </c>
      <c r="AB445" s="4" t="s">
        <v>2353</v>
      </c>
      <c r="AC445" s="4" t="s">
        <v>522</v>
      </c>
      <c r="AD445" s="4" t="s">
        <v>60</v>
      </c>
      <c r="AE445" s="4" t="s">
        <v>60</v>
      </c>
      <c r="AF445" s="4" t="s">
        <v>60</v>
      </c>
      <c r="AG445" s="4" t="s">
        <v>62</v>
      </c>
      <c r="AH445" s="13">
        <v>9.0</v>
      </c>
      <c r="AI445" s="13">
        <v>9.0</v>
      </c>
      <c r="AJ445" s="9">
        <v>10.0</v>
      </c>
      <c r="AK445" s="9">
        <f t="shared" si="1"/>
        <v>28</v>
      </c>
      <c r="AL445" s="9">
        <v>1.0</v>
      </c>
      <c r="AM445" s="13">
        <v>15.0</v>
      </c>
      <c r="AN445" s="9">
        <f t="shared" si="5"/>
        <v>15</v>
      </c>
      <c r="AO445" s="9">
        <f t="shared" si="16"/>
        <v>1.466666667</v>
      </c>
      <c r="AP445" s="4" t="s">
        <v>2354</v>
      </c>
    </row>
    <row r="446" ht="12.75" customHeight="1">
      <c r="A446" s="11" t="s">
        <v>2283</v>
      </c>
      <c r="B446" s="8" t="s">
        <v>2284</v>
      </c>
      <c r="C446" s="4" t="s">
        <v>117</v>
      </c>
      <c r="D446" s="8" t="s">
        <v>45</v>
      </c>
      <c r="E446" s="8" t="s">
        <v>46</v>
      </c>
      <c r="F446" s="8" t="s">
        <v>47</v>
      </c>
      <c r="G446" s="8" t="s">
        <v>2284</v>
      </c>
      <c r="H446" s="8" t="s">
        <v>2285</v>
      </c>
      <c r="I446" s="8" t="s">
        <v>620</v>
      </c>
      <c r="J446" s="9">
        <v>21.0</v>
      </c>
      <c r="K446" s="9">
        <v>20.0</v>
      </c>
      <c r="L446" s="9">
        <v>2024.0</v>
      </c>
      <c r="M446" s="13">
        <v>12.0</v>
      </c>
      <c r="N446" s="13">
        <v>4.0</v>
      </c>
      <c r="O446" s="13">
        <v>2026.0</v>
      </c>
      <c r="P446" s="8" t="s">
        <v>105</v>
      </c>
      <c r="Q446" s="4" t="s">
        <v>51</v>
      </c>
      <c r="R446" s="1" t="s">
        <v>52</v>
      </c>
      <c r="S446" s="8" t="s">
        <v>67</v>
      </c>
      <c r="T446" s="4" t="s">
        <v>2147</v>
      </c>
      <c r="U446" s="9">
        <v>2024.0</v>
      </c>
      <c r="V446" s="8"/>
      <c r="W446" s="8"/>
      <c r="X446" s="4" t="s">
        <v>55</v>
      </c>
      <c r="Y446" s="4" t="s">
        <v>45</v>
      </c>
      <c r="Z446" s="8" t="s">
        <v>47</v>
      </c>
      <c r="AA446" s="8" t="s">
        <v>47</v>
      </c>
      <c r="AB446" s="8" t="s">
        <v>47</v>
      </c>
      <c r="AC446" s="8" t="s">
        <v>69</v>
      </c>
      <c r="AD446" s="8" t="s">
        <v>2209</v>
      </c>
      <c r="AE446" s="8" t="s">
        <v>2286</v>
      </c>
      <c r="AF446" s="8" t="s">
        <v>2287</v>
      </c>
      <c r="AG446" s="4" t="s">
        <v>62</v>
      </c>
      <c r="AH446" s="9">
        <v>10.0</v>
      </c>
      <c r="AI446" s="9">
        <v>10.0</v>
      </c>
      <c r="AJ446" s="9">
        <v>10.0</v>
      </c>
      <c r="AK446" s="9">
        <f t="shared" si="1"/>
        <v>30</v>
      </c>
      <c r="AL446" s="9">
        <v>1.0</v>
      </c>
      <c r="AM446" s="9">
        <v>186.0</v>
      </c>
      <c r="AN446" s="9">
        <f t="shared" si="5"/>
        <v>186</v>
      </c>
      <c r="AO446" s="9">
        <f t="shared" si="16"/>
        <v>1.505376344</v>
      </c>
      <c r="AP446" s="1"/>
    </row>
    <row r="447" ht="12.75" customHeight="1">
      <c r="A447" s="1" t="s">
        <v>1581</v>
      </c>
      <c r="B447" s="4" t="s">
        <v>1592</v>
      </c>
      <c r="C447" s="4" t="s">
        <v>44</v>
      </c>
      <c r="D447" s="1" t="s">
        <v>45</v>
      </c>
      <c r="E447" s="1" t="s">
        <v>46</v>
      </c>
      <c r="F447" s="1" t="s">
        <v>47</v>
      </c>
      <c r="G447" s="4" t="s">
        <v>1592</v>
      </c>
      <c r="H447" s="4" t="s">
        <v>2113</v>
      </c>
      <c r="I447" s="1" t="s">
        <v>1863</v>
      </c>
      <c r="J447" s="1">
        <v>21.0</v>
      </c>
      <c r="K447" s="4">
        <v>20.0</v>
      </c>
      <c r="L447" s="4">
        <v>2026.0</v>
      </c>
      <c r="M447" s="4">
        <v>13.0</v>
      </c>
      <c r="N447" s="4">
        <v>4.0</v>
      </c>
      <c r="O447" s="4">
        <v>2026.0</v>
      </c>
      <c r="P447" s="1" t="s">
        <v>105</v>
      </c>
      <c r="Q447" s="4" t="s">
        <v>51</v>
      </c>
      <c r="R447" s="1" t="s">
        <v>266</v>
      </c>
      <c r="S447" s="4" t="s">
        <v>215</v>
      </c>
      <c r="T447" s="4" t="s">
        <v>2147</v>
      </c>
      <c r="U447" s="4">
        <v>2026.0</v>
      </c>
      <c r="V447" s="1"/>
      <c r="W447" s="1"/>
      <c r="X447" s="4" t="s">
        <v>139</v>
      </c>
      <c r="Y447" s="1" t="s">
        <v>139</v>
      </c>
      <c r="Z447" s="1" t="s">
        <v>139</v>
      </c>
      <c r="AA447" s="1" t="s">
        <v>139</v>
      </c>
      <c r="AB447" s="1" t="s">
        <v>139</v>
      </c>
      <c r="AC447" s="1" t="s">
        <v>69</v>
      </c>
      <c r="AD447" s="4" t="s">
        <v>2000</v>
      </c>
      <c r="AE447" s="1" t="s">
        <v>60</v>
      </c>
      <c r="AF447" s="1" t="s">
        <v>1687</v>
      </c>
      <c r="AG447" s="4" t="s">
        <v>62</v>
      </c>
      <c r="AH447" s="4">
        <v>7.0</v>
      </c>
      <c r="AI447" s="4">
        <v>8.0</v>
      </c>
      <c r="AJ447" s="4">
        <v>7.0</v>
      </c>
      <c r="AK447" s="1">
        <f t="shared" si="1"/>
        <v>22</v>
      </c>
      <c r="AL447" s="1">
        <v>1.0</v>
      </c>
      <c r="AM447" s="4">
        <v>135.0</v>
      </c>
      <c r="AN447" s="1">
        <f t="shared" si="5"/>
        <v>135</v>
      </c>
      <c r="AO447" s="1">
        <f t="shared" ref="AO447:AO455" si="17">(AH447*5)/100+(AI447*5)/100+(AJ447*5)/100+1/AN447</f>
        <v>1.107407407</v>
      </c>
      <c r="AP447" s="4" t="s">
        <v>1593</v>
      </c>
    </row>
    <row r="448" ht="12.75" customHeight="1">
      <c r="A448" s="4" t="s">
        <v>2355</v>
      </c>
      <c r="B448" s="4" t="s">
        <v>2356</v>
      </c>
      <c r="C448" s="4" t="s">
        <v>117</v>
      </c>
      <c r="D448" s="1" t="s">
        <v>45</v>
      </c>
      <c r="E448" s="1" t="s">
        <v>46</v>
      </c>
      <c r="F448" s="1" t="s">
        <v>47</v>
      </c>
      <c r="G448" s="4" t="s">
        <v>2356</v>
      </c>
      <c r="H448" s="4" t="s">
        <v>65</v>
      </c>
      <c r="I448" s="4" t="s">
        <v>2357</v>
      </c>
      <c r="J448" s="4">
        <v>21.0</v>
      </c>
      <c r="K448" s="4">
        <v>10.0</v>
      </c>
      <c r="L448" s="4">
        <v>2019.0</v>
      </c>
      <c r="M448" s="4">
        <v>22.0</v>
      </c>
      <c r="N448" s="4">
        <v>4.0</v>
      </c>
      <c r="O448" s="4">
        <v>2026.0</v>
      </c>
      <c r="P448" s="4" t="s">
        <v>2358</v>
      </c>
      <c r="Q448" s="4" t="s">
        <v>51</v>
      </c>
      <c r="R448" s="4" t="s">
        <v>67</v>
      </c>
      <c r="S448" s="12" t="s">
        <v>53</v>
      </c>
      <c r="T448" s="4" t="s">
        <v>91</v>
      </c>
      <c r="U448" s="4">
        <v>2019.0</v>
      </c>
      <c r="V448" s="1"/>
      <c r="W448" s="1"/>
      <c r="X448" s="4" t="s">
        <v>55</v>
      </c>
      <c r="Y448" s="4" t="s">
        <v>45</v>
      </c>
      <c r="Z448" s="4" t="s">
        <v>47</v>
      </c>
      <c r="AA448" s="4" t="s">
        <v>559</v>
      </c>
      <c r="AB448" s="4" t="s">
        <v>2359</v>
      </c>
      <c r="AC448" s="4" t="s">
        <v>69</v>
      </c>
      <c r="AD448" s="4" t="s">
        <v>2209</v>
      </c>
      <c r="AE448" s="4" t="s">
        <v>491</v>
      </c>
      <c r="AF448" s="4" t="s">
        <v>60</v>
      </c>
      <c r="AG448" s="4" t="s">
        <v>62</v>
      </c>
      <c r="AH448" s="4">
        <v>9.0</v>
      </c>
      <c r="AI448" s="4">
        <v>7.0</v>
      </c>
      <c r="AJ448" s="4">
        <v>9.0</v>
      </c>
      <c r="AK448" s="1">
        <f t="shared" si="1"/>
        <v>25</v>
      </c>
      <c r="AL448" s="1">
        <v>1.0</v>
      </c>
      <c r="AM448" s="4">
        <v>102.0</v>
      </c>
      <c r="AN448" s="1">
        <f t="shared" si="5"/>
        <v>102</v>
      </c>
      <c r="AO448" s="1">
        <f t="shared" si="17"/>
        <v>1.259803922</v>
      </c>
      <c r="AP448" s="1"/>
    </row>
    <row r="449" ht="12.75" customHeight="1">
      <c r="A449" s="4" t="s">
        <v>2360</v>
      </c>
      <c r="B449" s="4" t="s">
        <v>2361</v>
      </c>
      <c r="C449" s="4" t="s">
        <v>117</v>
      </c>
      <c r="D449" s="1" t="s">
        <v>45</v>
      </c>
      <c r="E449" s="1" t="s">
        <v>46</v>
      </c>
      <c r="F449" s="1" t="s">
        <v>47</v>
      </c>
      <c r="G449" s="4" t="s">
        <v>2361</v>
      </c>
      <c r="H449" s="4" t="s">
        <v>48</v>
      </c>
      <c r="I449" s="4" t="s">
        <v>2333</v>
      </c>
      <c r="J449" s="4">
        <v>21.0</v>
      </c>
      <c r="K449" s="4">
        <v>20.0</v>
      </c>
      <c r="L449" s="4">
        <v>2026.0</v>
      </c>
      <c r="M449" s="4">
        <v>22.0</v>
      </c>
      <c r="N449" s="4">
        <v>4.0</v>
      </c>
      <c r="O449" s="4">
        <v>2026.0</v>
      </c>
      <c r="P449" s="4" t="s">
        <v>105</v>
      </c>
      <c r="Q449" s="4" t="s">
        <v>51</v>
      </c>
      <c r="R449" s="4" t="s">
        <v>52</v>
      </c>
      <c r="S449" s="12" t="s">
        <v>53</v>
      </c>
      <c r="T449" s="4" t="s">
        <v>2147</v>
      </c>
      <c r="U449" s="4">
        <v>2026.0</v>
      </c>
      <c r="V449" s="1"/>
      <c r="W449" s="1"/>
      <c r="X449" s="4" t="s">
        <v>55</v>
      </c>
      <c r="Y449" s="4" t="s">
        <v>45</v>
      </c>
      <c r="Z449" s="4" t="s">
        <v>47</v>
      </c>
      <c r="AA449" s="4" t="s">
        <v>47</v>
      </c>
      <c r="AB449" s="8" t="s">
        <v>47</v>
      </c>
      <c r="AC449" s="4" t="s">
        <v>69</v>
      </c>
      <c r="AD449" s="4" t="s">
        <v>2209</v>
      </c>
      <c r="AE449" s="4" t="s">
        <v>60</v>
      </c>
      <c r="AF449" s="4" t="s">
        <v>2333</v>
      </c>
      <c r="AG449" s="4" t="s">
        <v>62</v>
      </c>
      <c r="AH449" s="4">
        <v>8.0</v>
      </c>
      <c r="AI449" s="4">
        <v>8.0</v>
      </c>
      <c r="AJ449" s="4">
        <v>8.0</v>
      </c>
      <c r="AK449" s="1">
        <f t="shared" si="1"/>
        <v>24</v>
      </c>
      <c r="AL449" s="1">
        <v>1.0</v>
      </c>
      <c r="AM449" s="4">
        <v>47.0</v>
      </c>
      <c r="AN449" s="1">
        <f t="shared" si="5"/>
        <v>47</v>
      </c>
      <c r="AO449" s="1">
        <f t="shared" si="17"/>
        <v>1.221276596</v>
      </c>
      <c r="AP449" s="4"/>
    </row>
    <row r="450" ht="12.75" customHeight="1">
      <c r="A450" s="4" t="s">
        <v>2362</v>
      </c>
      <c r="B450" s="4" t="s">
        <v>2363</v>
      </c>
      <c r="C450" s="4" t="s">
        <v>117</v>
      </c>
      <c r="D450" s="1" t="s">
        <v>45</v>
      </c>
      <c r="E450" s="1" t="s">
        <v>46</v>
      </c>
      <c r="F450" s="1" t="s">
        <v>47</v>
      </c>
      <c r="G450" s="4" t="s">
        <v>2363</v>
      </c>
      <c r="H450" s="4" t="s">
        <v>48</v>
      </c>
      <c r="I450" s="4" t="s">
        <v>2364</v>
      </c>
      <c r="J450" s="4">
        <v>21.0</v>
      </c>
      <c r="K450" s="4">
        <v>10.0</v>
      </c>
      <c r="L450" s="4">
        <v>2014.0</v>
      </c>
      <c r="M450" s="4">
        <v>23.0</v>
      </c>
      <c r="N450" s="4">
        <v>4.0</v>
      </c>
      <c r="O450" s="4">
        <v>2026.0</v>
      </c>
      <c r="P450" s="4" t="s">
        <v>2358</v>
      </c>
      <c r="Q450" s="4" t="s">
        <v>51</v>
      </c>
      <c r="R450" s="4" t="s">
        <v>223</v>
      </c>
      <c r="S450" s="12" t="s">
        <v>53</v>
      </c>
      <c r="T450" s="4" t="s">
        <v>91</v>
      </c>
      <c r="U450" s="4">
        <v>2014.0</v>
      </c>
      <c r="V450" s="1"/>
      <c r="W450" s="1"/>
      <c r="X450" s="4" t="s">
        <v>55</v>
      </c>
      <c r="Y450" s="4" t="s">
        <v>45</v>
      </c>
      <c r="Z450" s="8" t="s">
        <v>47</v>
      </c>
      <c r="AA450" s="4" t="s">
        <v>47</v>
      </c>
      <c r="AB450" s="8" t="s">
        <v>47</v>
      </c>
      <c r="AC450" s="4" t="s">
        <v>69</v>
      </c>
      <c r="AD450" s="4" t="s">
        <v>2209</v>
      </c>
      <c r="AE450" s="4" t="s">
        <v>60</v>
      </c>
      <c r="AF450" s="4" t="s">
        <v>60</v>
      </c>
      <c r="AG450" s="4" t="s">
        <v>62</v>
      </c>
      <c r="AH450" s="4">
        <v>2.0</v>
      </c>
      <c r="AI450" s="4">
        <v>1.0</v>
      </c>
      <c r="AJ450" s="4">
        <v>2.0</v>
      </c>
      <c r="AK450" s="1">
        <f t="shared" si="1"/>
        <v>5</v>
      </c>
      <c r="AL450" s="1">
        <v>1.0</v>
      </c>
      <c r="AM450" s="4">
        <v>99.0</v>
      </c>
      <c r="AN450" s="1">
        <f t="shared" si="5"/>
        <v>99</v>
      </c>
      <c r="AO450" s="1">
        <f t="shared" si="17"/>
        <v>0.2601010101</v>
      </c>
      <c r="AP450" s="4" t="s">
        <v>2365</v>
      </c>
    </row>
    <row r="451" ht="12.75" customHeight="1">
      <c r="A451" s="4" t="s">
        <v>2366</v>
      </c>
      <c r="B451" s="4" t="s">
        <v>2367</v>
      </c>
      <c r="C451" s="4" t="s">
        <v>117</v>
      </c>
      <c r="D451" s="1" t="s">
        <v>45</v>
      </c>
      <c r="E451" s="1" t="s">
        <v>46</v>
      </c>
      <c r="F451" s="1" t="s">
        <v>47</v>
      </c>
      <c r="G451" s="4" t="s">
        <v>2367</v>
      </c>
      <c r="H451" s="4" t="s">
        <v>65</v>
      </c>
      <c r="I451" s="4" t="s">
        <v>2368</v>
      </c>
      <c r="J451" s="4">
        <v>21.0</v>
      </c>
      <c r="K451" s="4">
        <v>10.0</v>
      </c>
      <c r="L451" s="4">
        <v>2011.0</v>
      </c>
      <c r="M451" s="4">
        <v>26.0</v>
      </c>
      <c r="N451" s="4">
        <v>4.0</v>
      </c>
      <c r="O451" s="4">
        <v>2026.0</v>
      </c>
      <c r="P451" s="4" t="s">
        <v>2358</v>
      </c>
      <c r="Q451" s="4" t="s">
        <v>51</v>
      </c>
      <c r="R451" s="4" t="s">
        <v>52</v>
      </c>
      <c r="S451" s="4" t="s">
        <v>67</v>
      </c>
      <c r="T451" s="4" t="s">
        <v>91</v>
      </c>
      <c r="U451" s="4">
        <v>2011.0</v>
      </c>
      <c r="V451" s="1"/>
      <c r="W451" s="1"/>
      <c r="X451" s="4" t="s">
        <v>55</v>
      </c>
      <c r="Y451" s="4" t="s">
        <v>45</v>
      </c>
      <c r="Z451" s="4" t="s">
        <v>47</v>
      </c>
      <c r="AA451" s="4" t="s">
        <v>47</v>
      </c>
      <c r="AB451" s="8" t="s">
        <v>47</v>
      </c>
      <c r="AC451" s="4" t="s">
        <v>69</v>
      </c>
      <c r="AD451" s="4" t="s">
        <v>2209</v>
      </c>
      <c r="AE451" s="4" t="s">
        <v>60</v>
      </c>
      <c r="AF451" s="4" t="s">
        <v>60</v>
      </c>
      <c r="AG451" s="4" t="s">
        <v>62</v>
      </c>
      <c r="AH451" s="4">
        <v>10.0</v>
      </c>
      <c r="AI451" s="4">
        <v>10.0</v>
      </c>
      <c r="AJ451" s="4">
        <v>10.0</v>
      </c>
      <c r="AK451" s="1">
        <f t="shared" si="1"/>
        <v>30</v>
      </c>
      <c r="AL451" s="1">
        <v>1.0</v>
      </c>
      <c r="AM451" s="4">
        <v>38.0</v>
      </c>
      <c r="AN451" s="1">
        <f t="shared" si="5"/>
        <v>38</v>
      </c>
      <c r="AO451" s="1">
        <f t="shared" si="17"/>
        <v>1.526315789</v>
      </c>
      <c r="AP451" s="4" t="s">
        <v>2369</v>
      </c>
    </row>
    <row r="452" ht="12.75" customHeight="1">
      <c r="A452" s="4" t="s">
        <v>2370</v>
      </c>
      <c r="B452" s="4" t="s">
        <v>2371</v>
      </c>
      <c r="C452" s="4" t="s">
        <v>117</v>
      </c>
      <c r="D452" s="1" t="s">
        <v>45</v>
      </c>
      <c r="E452" s="1" t="s">
        <v>46</v>
      </c>
      <c r="F452" s="1" t="s">
        <v>47</v>
      </c>
      <c r="G452" s="4" t="s">
        <v>2371</v>
      </c>
      <c r="H452" s="4" t="s">
        <v>65</v>
      </c>
      <c r="I452" s="4" t="s">
        <v>1638</v>
      </c>
      <c r="J452" s="4">
        <v>21.0</v>
      </c>
      <c r="K452" s="4">
        <v>10.0</v>
      </c>
      <c r="L452" s="4">
        <v>2018.0</v>
      </c>
      <c r="M452" s="4">
        <v>28.0</v>
      </c>
      <c r="N452" s="4">
        <v>4.0</v>
      </c>
      <c r="O452" s="4">
        <v>2026.0</v>
      </c>
      <c r="P452" s="4" t="s">
        <v>2358</v>
      </c>
      <c r="Q452" s="4" t="s">
        <v>51</v>
      </c>
      <c r="R452" s="4" t="s">
        <v>52</v>
      </c>
      <c r="S452" s="4" t="s">
        <v>67</v>
      </c>
      <c r="T452" s="4" t="s">
        <v>1659</v>
      </c>
      <c r="U452" s="4">
        <v>1883.0</v>
      </c>
      <c r="V452" s="1"/>
      <c r="W452" s="1"/>
      <c r="X452" s="4" t="s">
        <v>55</v>
      </c>
      <c r="Y452" s="4" t="s">
        <v>99</v>
      </c>
      <c r="Z452" s="4" t="s">
        <v>178</v>
      </c>
      <c r="AA452" s="4" t="s">
        <v>2372</v>
      </c>
      <c r="AB452" s="4" t="s">
        <v>2373</v>
      </c>
      <c r="AC452" s="4" t="s">
        <v>434</v>
      </c>
      <c r="AD452" s="4" t="s">
        <v>2156</v>
      </c>
      <c r="AE452" s="4" t="s">
        <v>60</v>
      </c>
      <c r="AF452" s="4" t="s">
        <v>2374</v>
      </c>
      <c r="AG452" s="4" t="s">
        <v>62</v>
      </c>
      <c r="AH452" s="4">
        <v>10.0</v>
      </c>
      <c r="AI452" s="4">
        <v>9.25</v>
      </c>
      <c r="AJ452" s="4">
        <v>10.0</v>
      </c>
      <c r="AK452" s="1">
        <f t="shared" si="1"/>
        <v>29.25</v>
      </c>
      <c r="AL452" s="1">
        <v>1.0</v>
      </c>
      <c r="AM452" s="4">
        <v>46.0</v>
      </c>
      <c r="AN452" s="1">
        <f t="shared" si="5"/>
        <v>46</v>
      </c>
      <c r="AO452" s="1">
        <f t="shared" si="17"/>
        <v>1.48423913</v>
      </c>
      <c r="AP452" s="4" t="s">
        <v>2375</v>
      </c>
    </row>
    <row r="453" ht="12.75" customHeight="1">
      <c r="A453" s="4" t="s">
        <v>2376</v>
      </c>
      <c r="B453" s="4" t="s">
        <v>2377</v>
      </c>
      <c r="C453" s="4" t="s">
        <v>117</v>
      </c>
      <c r="D453" s="1" t="s">
        <v>45</v>
      </c>
      <c r="E453" s="1" t="s">
        <v>46</v>
      </c>
      <c r="F453" s="1" t="s">
        <v>47</v>
      </c>
      <c r="G453" s="4" t="s">
        <v>2377</v>
      </c>
      <c r="H453" s="4" t="s">
        <v>65</v>
      </c>
      <c r="I453" s="4" t="s">
        <v>2378</v>
      </c>
      <c r="J453" s="4">
        <v>21.0</v>
      </c>
      <c r="K453" s="4">
        <v>0.0</v>
      </c>
      <c r="L453" s="4">
        <v>2005.0</v>
      </c>
      <c r="M453" s="4">
        <v>29.0</v>
      </c>
      <c r="N453" s="4">
        <v>4.0</v>
      </c>
      <c r="O453" s="4">
        <v>2026.0</v>
      </c>
      <c r="P453" s="4" t="s">
        <v>2358</v>
      </c>
      <c r="Q453" s="4" t="s">
        <v>51</v>
      </c>
      <c r="R453" s="4" t="s">
        <v>223</v>
      </c>
      <c r="S453" s="4" t="s">
        <v>67</v>
      </c>
      <c r="T453" s="4" t="s">
        <v>106</v>
      </c>
      <c r="U453" s="4">
        <v>2005.0</v>
      </c>
      <c r="V453" s="1"/>
      <c r="W453" s="1"/>
      <c r="X453" s="4" t="s">
        <v>30</v>
      </c>
      <c r="Y453" s="4" t="s">
        <v>30</v>
      </c>
      <c r="Z453" s="4" t="s">
        <v>68</v>
      </c>
      <c r="AA453" s="4" t="s">
        <v>68</v>
      </c>
      <c r="AB453" s="4" t="s">
        <v>478</v>
      </c>
      <c r="AC453" s="4" t="s">
        <v>58</v>
      </c>
      <c r="AD453" s="4" t="s">
        <v>2209</v>
      </c>
      <c r="AE453" s="4" t="s">
        <v>491</v>
      </c>
      <c r="AF453" s="4" t="s">
        <v>60</v>
      </c>
      <c r="AG453" s="4" t="s">
        <v>62</v>
      </c>
      <c r="AH453" s="4">
        <v>0.0</v>
      </c>
      <c r="AI453" s="4">
        <v>0.0</v>
      </c>
      <c r="AJ453" s="4">
        <v>0.0</v>
      </c>
      <c r="AK453" s="1">
        <f t="shared" si="1"/>
        <v>0</v>
      </c>
      <c r="AL453" s="1">
        <v>1.0</v>
      </c>
      <c r="AM453" s="4">
        <v>46.0</v>
      </c>
      <c r="AN453" s="1">
        <f t="shared" si="5"/>
        <v>46</v>
      </c>
      <c r="AO453" s="1">
        <f t="shared" si="17"/>
        <v>0.02173913043</v>
      </c>
      <c r="AP453" s="4" t="s">
        <v>2379</v>
      </c>
    </row>
    <row r="454" ht="12.75" customHeight="1">
      <c r="A454" s="4" t="s">
        <v>2380</v>
      </c>
      <c r="B454" s="4" t="s">
        <v>2381</v>
      </c>
      <c r="C454" s="4" t="s">
        <v>117</v>
      </c>
      <c r="D454" s="1" t="s">
        <v>45</v>
      </c>
      <c r="E454" s="1" t="s">
        <v>46</v>
      </c>
      <c r="F454" s="1" t="s">
        <v>47</v>
      </c>
      <c r="G454" s="4" t="s">
        <v>2381</v>
      </c>
      <c r="H454" s="4" t="s">
        <v>65</v>
      </c>
      <c r="I454" s="4" t="s">
        <v>421</v>
      </c>
      <c r="J454" s="4">
        <v>21.0</v>
      </c>
      <c r="K454" s="4">
        <v>20.0</v>
      </c>
      <c r="L454" s="4">
        <v>2021.0</v>
      </c>
      <c r="M454" s="4">
        <v>30.0</v>
      </c>
      <c r="N454" s="4">
        <v>4.0</v>
      </c>
      <c r="O454" s="4">
        <v>2026.0</v>
      </c>
      <c r="P454" s="4" t="s">
        <v>2358</v>
      </c>
      <c r="Q454" s="4" t="s">
        <v>51</v>
      </c>
      <c r="R454" s="4" t="s">
        <v>52</v>
      </c>
      <c r="S454" s="4" t="s">
        <v>67</v>
      </c>
      <c r="T454" s="4" t="s">
        <v>1710</v>
      </c>
      <c r="U454" s="4">
        <v>2021.0</v>
      </c>
      <c r="V454" s="1"/>
      <c r="W454" s="1"/>
      <c r="X454" s="4" t="s">
        <v>55</v>
      </c>
      <c r="Y454" s="4" t="s">
        <v>45</v>
      </c>
      <c r="Z454" s="4" t="s">
        <v>47</v>
      </c>
      <c r="AA454" s="4" t="s">
        <v>47</v>
      </c>
      <c r="AB454" s="8" t="s">
        <v>47</v>
      </c>
      <c r="AC454" s="4" t="s">
        <v>58</v>
      </c>
      <c r="AD454" s="4" t="s">
        <v>2209</v>
      </c>
      <c r="AE454" s="4" t="s">
        <v>60</v>
      </c>
      <c r="AF454" s="4" t="s">
        <v>60</v>
      </c>
      <c r="AG454" s="4" t="s">
        <v>62</v>
      </c>
      <c r="AH454" s="4">
        <v>5.0</v>
      </c>
      <c r="AI454" s="4">
        <v>5.0</v>
      </c>
      <c r="AJ454" s="4">
        <v>9.25</v>
      </c>
      <c r="AK454" s="1">
        <f t="shared" si="1"/>
        <v>19.25</v>
      </c>
      <c r="AL454" s="1">
        <v>1.0</v>
      </c>
      <c r="AM454" s="4">
        <v>40.0</v>
      </c>
      <c r="AN454" s="1">
        <f t="shared" si="5"/>
        <v>40</v>
      </c>
      <c r="AO454" s="1">
        <f t="shared" si="17"/>
        <v>0.9875</v>
      </c>
      <c r="AP454" s="4" t="s">
        <v>2382</v>
      </c>
    </row>
    <row r="455" ht="12.75" customHeight="1">
      <c r="A455" s="4" t="s">
        <v>1284</v>
      </c>
      <c r="B455" s="4" t="s">
        <v>1285</v>
      </c>
      <c r="C455" s="4" t="s">
        <v>44</v>
      </c>
      <c r="D455" s="4" t="s">
        <v>148</v>
      </c>
      <c r="E455" s="4" t="s">
        <v>160</v>
      </c>
      <c r="F455" s="4" t="s">
        <v>169</v>
      </c>
      <c r="G455" s="4" t="s">
        <v>2383</v>
      </c>
      <c r="H455" s="4" t="s">
        <v>48</v>
      </c>
      <c r="I455" s="4" t="s">
        <v>1863</v>
      </c>
      <c r="J455" s="4">
        <v>21.0</v>
      </c>
      <c r="K455" s="4">
        <v>20.0</v>
      </c>
      <c r="L455" s="4">
        <v>2024.0</v>
      </c>
      <c r="M455" s="4">
        <v>1.0</v>
      </c>
      <c r="N455" s="4">
        <v>5.0</v>
      </c>
      <c r="O455" s="4">
        <v>2026.0</v>
      </c>
      <c r="P455" s="4" t="s">
        <v>105</v>
      </c>
      <c r="Q455" s="4" t="s">
        <v>51</v>
      </c>
      <c r="R455" s="4" t="s">
        <v>52</v>
      </c>
      <c r="S455" s="4" t="s">
        <v>106</v>
      </c>
      <c r="T455" s="4" t="s">
        <v>2384</v>
      </c>
      <c r="U455" s="4">
        <v>1980.0</v>
      </c>
      <c r="V455" s="4">
        <v>12.0</v>
      </c>
      <c r="W455" s="1"/>
      <c r="X455" s="4" t="s">
        <v>55</v>
      </c>
      <c r="Y455" s="4" t="s">
        <v>148</v>
      </c>
      <c r="Z455" s="4" t="s">
        <v>162</v>
      </c>
      <c r="AA455" s="4" t="s">
        <v>2385</v>
      </c>
      <c r="AB455" s="4" t="s">
        <v>2385</v>
      </c>
      <c r="AC455" s="4" t="s">
        <v>2202</v>
      </c>
      <c r="AD455" s="4" t="s">
        <v>2025</v>
      </c>
      <c r="AE455" s="4" t="s">
        <v>60</v>
      </c>
      <c r="AF455" s="4" t="s">
        <v>1687</v>
      </c>
      <c r="AG455" s="4" t="s">
        <v>2386</v>
      </c>
      <c r="AH455" s="4">
        <v>8.0</v>
      </c>
      <c r="AI455" s="4">
        <v>8.0</v>
      </c>
      <c r="AJ455" s="4">
        <v>7.0</v>
      </c>
      <c r="AK455" s="1">
        <f t="shared" si="1"/>
        <v>23</v>
      </c>
      <c r="AL455" s="1">
        <v>1.0</v>
      </c>
      <c r="AM455" s="4">
        <v>358.0</v>
      </c>
      <c r="AN455" s="1">
        <f t="shared" si="5"/>
        <v>358</v>
      </c>
      <c r="AO455" s="1">
        <f t="shared" si="17"/>
        <v>1.152793296</v>
      </c>
      <c r="AP455" s="4" t="s">
        <v>1286</v>
      </c>
    </row>
    <row r="456" ht="12.75" customHeight="1">
      <c r="A456" s="11" t="s">
        <v>2283</v>
      </c>
      <c r="B456" s="4" t="s">
        <v>2387</v>
      </c>
      <c r="C456" s="4" t="s">
        <v>117</v>
      </c>
      <c r="D456" s="8" t="s">
        <v>45</v>
      </c>
      <c r="E456" s="8" t="s">
        <v>46</v>
      </c>
      <c r="F456" s="8" t="s">
        <v>47</v>
      </c>
      <c r="G456" s="8" t="s">
        <v>2284</v>
      </c>
      <c r="H456" s="8" t="s">
        <v>2285</v>
      </c>
      <c r="I456" s="8" t="s">
        <v>620</v>
      </c>
      <c r="J456" s="9">
        <v>21.0</v>
      </c>
      <c r="K456" s="9">
        <v>20.0</v>
      </c>
      <c r="L456" s="13">
        <v>2020.0</v>
      </c>
      <c r="M456" s="13">
        <v>18.0</v>
      </c>
      <c r="N456" s="13">
        <v>5.0</v>
      </c>
      <c r="O456" s="13">
        <v>2026.0</v>
      </c>
      <c r="P456" s="8" t="s">
        <v>105</v>
      </c>
      <c r="Q456" s="4" t="s">
        <v>51</v>
      </c>
      <c r="R456" s="1" t="s">
        <v>52</v>
      </c>
      <c r="S456" s="8" t="s">
        <v>67</v>
      </c>
      <c r="T456" s="4" t="s">
        <v>1710</v>
      </c>
      <c r="U456" s="13">
        <v>2020.0</v>
      </c>
      <c r="V456" s="8"/>
      <c r="W456" s="8"/>
      <c r="X456" s="4" t="s">
        <v>55</v>
      </c>
      <c r="Y456" s="4" t="s">
        <v>45</v>
      </c>
      <c r="Z456" s="8" t="s">
        <v>47</v>
      </c>
      <c r="AA456" s="4" t="s">
        <v>47</v>
      </c>
      <c r="AB456" s="8" t="s">
        <v>47</v>
      </c>
      <c r="AC456" s="8" t="s">
        <v>69</v>
      </c>
      <c r="AD456" s="8" t="s">
        <v>2209</v>
      </c>
      <c r="AE456" s="11" t="s">
        <v>60</v>
      </c>
      <c r="AF456" s="8" t="s">
        <v>2287</v>
      </c>
      <c r="AG456" s="4" t="s">
        <v>62</v>
      </c>
      <c r="AH456" s="9">
        <v>10.0</v>
      </c>
      <c r="AI456" s="9">
        <v>10.0</v>
      </c>
      <c r="AJ456" s="9">
        <v>10.0</v>
      </c>
      <c r="AK456" s="9">
        <f t="shared" si="1"/>
        <v>30</v>
      </c>
      <c r="AL456" s="9">
        <v>1.0</v>
      </c>
      <c r="AM456" s="13">
        <v>174.0</v>
      </c>
      <c r="AN456" s="9">
        <f t="shared" si="5"/>
        <v>174</v>
      </c>
      <c r="AO456" s="9">
        <f t="shared" ref="AO456:AO457" si="18">(AH456*5)/100+(AI456*5)/100+(AJ456*5)/100+1/AN456</f>
        <v>1.505747126</v>
      </c>
      <c r="AP456" s="4" t="s">
        <v>2388</v>
      </c>
    </row>
    <row r="457" ht="12.75" customHeight="1">
      <c r="A457" s="11" t="s">
        <v>2283</v>
      </c>
      <c r="B457" s="4" t="s">
        <v>2389</v>
      </c>
      <c r="C457" s="4" t="s">
        <v>117</v>
      </c>
      <c r="D457" s="8" t="s">
        <v>45</v>
      </c>
      <c r="E457" s="8" t="s">
        <v>46</v>
      </c>
      <c r="F457" s="8" t="s">
        <v>47</v>
      </c>
      <c r="G457" s="8" t="s">
        <v>2284</v>
      </c>
      <c r="H457" s="8" t="s">
        <v>2285</v>
      </c>
      <c r="I457" s="8" t="s">
        <v>620</v>
      </c>
      <c r="J457" s="9">
        <v>21.0</v>
      </c>
      <c r="K457" s="9">
        <v>20.0</v>
      </c>
      <c r="L457" s="13">
        <v>2022.0</v>
      </c>
      <c r="M457" s="13">
        <v>19.0</v>
      </c>
      <c r="N457" s="13">
        <v>5.0</v>
      </c>
      <c r="O457" s="13">
        <v>2026.0</v>
      </c>
      <c r="P457" s="8" t="s">
        <v>105</v>
      </c>
      <c r="Q457" s="4" t="s">
        <v>51</v>
      </c>
      <c r="R457" s="1" t="s">
        <v>52</v>
      </c>
      <c r="S457" s="8" t="s">
        <v>67</v>
      </c>
      <c r="T457" s="4" t="s">
        <v>1710</v>
      </c>
      <c r="U457" s="13">
        <v>2022.0</v>
      </c>
      <c r="V457" s="8"/>
      <c r="W457" s="8"/>
      <c r="X457" s="4" t="s">
        <v>55</v>
      </c>
      <c r="Y457" s="4" t="s">
        <v>45</v>
      </c>
      <c r="Z457" s="8" t="s">
        <v>47</v>
      </c>
      <c r="AA457" s="4" t="s">
        <v>47</v>
      </c>
      <c r="AB457" s="8" t="s">
        <v>47</v>
      </c>
      <c r="AC457" s="8" t="s">
        <v>69</v>
      </c>
      <c r="AD457" s="8" t="s">
        <v>2209</v>
      </c>
      <c r="AE457" s="11" t="s">
        <v>60</v>
      </c>
      <c r="AF457" s="8" t="s">
        <v>2287</v>
      </c>
      <c r="AG457" s="4" t="s">
        <v>62</v>
      </c>
      <c r="AH457" s="9">
        <v>10.0</v>
      </c>
      <c r="AI457" s="9">
        <v>10.0</v>
      </c>
      <c r="AJ457" s="9">
        <v>10.0</v>
      </c>
      <c r="AK457" s="9">
        <f t="shared" si="1"/>
        <v>30</v>
      </c>
      <c r="AL457" s="9">
        <v>1.0</v>
      </c>
      <c r="AM457" s="13">
        <v>174.0</v>
      </c>
      <c r="AN457" s="13">
        <v>206.0</v>
      </c>
      <c r="AO457" s="9">
        <f t="shared" si="18"/>
        <v>1.504854369</v>
      </c>
      <c r="AP457" s="4" t="s">
        <v>2390</v>
      </c>
    </row>
    <row r="458" ht="12.75" customHeight="1">
      <c r="A458" s="4" t="s">
        <v>1009</v>
      </c>
      <c r="B458" s="4" t="s">
        <v>1016</v>
      </c>
      <c r="C458" s="4" t="s">
        <v>44</v>
      </c>
      <c r="D458" s="4" t="s">
        <v>99</v>
      </c>
      <c r="E458" s="1" t="s">
        <v>100</v>
      </c>
      <c r="F458" s="1" t="s">
        <v>101</v>
      </c>
      <c r="G458" s="4" t="s">
        <v>2391</v>
      </c>
      <c r="H458" s="1" t="s">
        <v>65</v>
      </c>
      <c r="I458" s="1" t="s">
        <v>1997</v>
      </c>
      <c r="J458" s="1">
        <v>21.0</v>
      </c>
      <c r="K458" s="4">
        <v>20.0</v>
      </c>
      <c r="L458" s="4">
        <v>2025.0</v>
      </c>
      <c r="M458" s="4">
        <v>25.0</v>
      </c>
      <c r="N458" s="1">
        <v>5.0</v>
      </c>
      <c r="O458" s="4">
        <v>2026.0</v>
      </c>
      <c r="P458" s="1" t="s">
        <v>105</v>
      </c>
      <c r="Q458" s="4" t="s">
        <v>51</v>
      </c>
      <c r="R458" s="1" t="s">
        <v>52</v>
      </c>
      <c r="S458" s="1" t="s">
        <v>106</v>
      </c>
      <c r="T458" s="4" t="s">
        <v>106</v>
      </c>
      <c r="U458" s="4">
        <v>2014.0</v>
      </c>
      <c r="V458" s="4">
        <v>10.0</v>
      </c>
      <c r="W458" s="1"/>
      <c r="X458" s="4" t="s">
        <v>55</v>
      </c>
      <c r="Y458" s="4" t="s">
        <v>99</v>
      </c>
      <c r="Z458" s="4" t="s">
        <v>101</v>
      </c>
      <c r="AA458" s="1" t="s">
        <v>1834</v>
      </c>
      <c r="AB458" s="4" t="s">
        <v>2392</v>
      </c>
      <c r="AC458" s="4" t="s">
        <v>561</v>
      </c>
      <c r="AD458" s="1" t="s">
        <v>1889</v>
      </c>
      <c r="AE458" s="4" t="s">
        <v>2393</v>
      </c>
      <c r="AF458" s="1" t="s">
        <v>1687</v>
      </c>
      <c r="AG458" s="4" t="s">
        <v>62</v>
      </c>
      <c r="AH458" s="4">
        <v>9.0</v>
      </c>
      <c r="AI458" s="1">
        <v>8.0</v>
      </c>
      <c r="AJ458" s="4">
        <v>9.0</v>
      </c>
      <c r="AK458" s="1">
        <f t="shared" si="1"/>
        <v>26</v>
      </c>
      <c r="AL458" s="1">
        <v>1.0</v>
      </c>
      <c r="AM458" s="4">
        <v>380.0</v>
      </c>
      <c r="AN458" s="1">
        <f t="shared" ref="AN458:AN459" si="19">AM458*AL458</f>
        <v>380</v>
      </c>
      <c r="AO458" s="1">
        <f t="shared" ref="AO458:AO459" si="20">(AH458*5)/100+(AI458*5)/100+(AJ458*5)/100+1/AN458</f>
        <v>1.302631579</v>
      </c>
      <c r="AP458" s="4" t="s">
        <v>1017</v>
      </c>
    </row>
    <row r="459" ht="12.75" customHeight="1">
      <c r="A459" s="4" t="s">
        <v>1600</v>
      </c>
      <c r="B459" s="4" t="s">
        <v>1605</v>
      </c>
      <c r="C459" s="4" t="s">
        <v>44</v>
      </c>
      <c r="D459" s="4" t="s">
        <v>99</v>
      </c>
      <c r="E459" s="4" t="s">
        <v>180</v>
      </c>
      <c r="F459" s="4" t="s">
        <v>183</v>
      </c>
      <c r="G459" s="4" t="s">
        <v>2394</v>
      </c>
      <c r="H459" s="4" t="s">
        <v>48</v>
      </c>
      <c r="I459" s="4" t="s">
        <v>2027</v>
      </c>
      <c r="J459" s="4">
        <v>21.0</v>
      </c>
      <c r="K459" s="4">
        <v>20.0</v>
      </c>
      <c r="L459" s="4">
        <v>2024.0</v>
      </c>
      <c r="M459" s="4">
        <v>27.0</v>
      </c>
      <c r="N459" s="4">
        <v>5.0</v>
      </c>
      <c r="O459" s="4">
        <v>2026.0</v>
      </c>
      <c r="P459" s="4" t="s">
        <v>105</v>
      </c>
      <c r="Q459" s="4" t="s">
        <v>51</v>
      </c>
      <c r="R459" s="4" t="s">
        <v>52</v>
      </c>
      <c r="S459" s="4" t="s">
        <v>106</v>
      </c>
      <c r="T459" s="4" t="s">
        <v>2147</v>
      </c>
      <c r="U459" s="4">
        <v>2024.0</v>
      </c>
      <c r="V459" s="4"/>
      <c r="W459" s="1"/>
      <c r="X459" s="4" t="s">
        <v>55</v>
      </c>
      <c r="Y459" s="4" t="s">
        <v>99</v>
      </c>
      <c r="Z459" s="4" t="s">
        <v>183</v>
      </c>
      <c r="AA459" s="12" t="s">
        <v>2395</v>
      </c>
      <c r="AB459" s="4" t="s">
        <v>2396</v>
      </c>
      <c r="AC459" s="4" t="s">
        <v>561</v>
      </c>
      <c r="AD459" s="4" t="s">
        <v>2060</v>
      </c>
      <c r="AE459" s="4" t="s">
        <v>60</v>
      </c>
      <c r="AF459" s="4" t="s">
        <v>1687</v>
      </c>
      <c r="AG459" s="4" t="s">
        <v>62</v>
      </c>
      <c r="AH459" s="4">
        <v>8.0</v>
      </c>
      <c r="AI459" s="4">
        <v>8.0</v>
      </c>
      <c r="AJ459" s="4">
        <v>8.0</v>
      </c>
      <c r="AK459" s="1">
        <f t="shared" si="1"/>
        <v>24</v>
      </c>
      <c r="AL459" s="4">
        <v>1.0</v>
      </c>
      <c r="AM459" s="4">
        <v>222.0</v>
      </c>
      <c r="AN459" s="1">
        <f t="shared" si="19"/>
        <v>222</v>
      </c>
      <c r="AO459" s="1">
        <f t="shared" si="20"/>
        <v>1.204504505</v>
      </c>
      <c r="AP459" s="4" t="s">
        <v>1606</v>
      </c>
    </row>
    <row r="460" ht="12.75" customHeight="1">
      <c r="A460" s="11" t="s">
        <v>2283</v>
      </c>
      <c r="B460" s="4" t="s">
        <v>2397</v>
      </c>
      <c r="C460" s="4" t="s">
        <v>117</v>
      </c>
      <c r="D460" s="8" t="s">
        <v>45</v>
      </c>
      <c r="E460" s="8" t="s">
        <v>46</v>
      </c>
      <c r="F460" s="8" t="s">
        <v>47</v>
      </c>
      <c r="G460" s="4" t="s">
        <v>2397</v>
      </c>
      <c r="H460" s="8" t="s">
        <v>2285</v>
      </c>
      <c r="I460" s="8" t="s">
        <v>620</v>
      </c>
      <c r="J460" s="4">
        <v>21.0</v>
      </c>
      <c r="K460" s="4">
        <v>20.0</v>
      </c>
      <c r="L460" s="4">
        <v>2025.0</v>
      </c>
      <c r="M460" s="4">
        <v>2.0</v>
      </c>
      <c r="N460" s="4">
        <v>6.0</v>
      </c>
      <c r="O460" s="4">
        <v>2026.0</v>
      </c>
      <c r="P460" s="8" t="s">
        <v>105</v>
      </c>
      <c r="Q460" s="4" t="s">
        <v>51</v>
      </c>
      <c r="R460" s="1" t="s">
        <v>52</v>
      </c>
      <c r="S460" s="8" t="s">
        <v>67</v>
      </c>
      <c r="T460" s="4" t="s">
        <v>2147</v>
      </c>
      <c r="U460" s="4">
        <v>2025.0</v>
      </c>
      <c r="V460" s="1"/>
      <c r="W460" s="1"/>
      <c r="X460" s="4" t="s">
        <v>55</v>
      </c>
      <c r="Y460" s="4" t="s">
        <v>45</v>
      </c>
      <c r="Z460" s="8" t="s">
        <v>47</v>
      </c>
      <c r="AA460" s="4" t="s">
        <v>47</v>
      </c>
      <c r="AB460" s="8" t="s">
        <v>47</v>
      </c>
      <c r="AC460" s="8" t="s">
        <v>69</v>
      </c>
      <c r="AD460" s="8" t="s">
        <v>2209</v>
      </c>
      <c r="AE460" s="11" t="s">
        <v>60</v>
      </c>
      <c r="AF460" s="8" t="s">
        <v>2287</v>
      </c>
      <c r="AG460" s="4" t="s">
        <v>62</v>
      </c>
      <c r="AH460" s="9">
        <v>10.0</v>
      </c>
      <c r="AI460" s="9">
        <v>10.0</v>
      </c>
      <c r="AJ460" s="9">
        <v>10.0</v>
      </c>
      <c r="AK460" s="9">
        <f t="shared" si="1"/>
        <v>30</v>
      </c>
      <c r="AL460" s="9">
        <v>1.0</v>
      </c>
      <c r="AM460" s="13">
        <v>154.0</v>
      </c>
      <c r="AN460" s="13">
        <v>206.0</v>
      </c>
      <c r="AO460" s="9">
        <f>(AH460*5)/100+(AI460*5)/100+(AJ460*5)/100+1/AN460</f>
        <v>1.504854369</v>
      </c>
      <c r="AP460" s="4" t="s">
        <v>2398</v>
      </c>
    </row>
    <row r="461" ht="12.75" customHeight="1">
      <c r="A461" s="4" t="s">
        <v>1262</v>
      </c>
      <c r="B461" s="4" t="s">
        <v>1263</v>
      </c>
      <c r="C461" s="4" t="s">
        <v>44</v>
      </c>
      <c r="D461" s="8" t="s">
        <v>45</v>
      </c>
      <c r="E461" s="8" t="s">
        <v>46</v>
      </c>
      <c r="F461" s="8" t="s">
        <v>47</v>
      </c>
      <c r="G461" s="4" t="s">
        <v>1263</v>
      </c>
      <c r="H461" s="4" t="s">
        <v>48</v>
      </c>
      <c r="I461" s="1" t="s">
        <v>1997</v>
      </c>
      <c r="J461" s="4">
        <v>21.0</v>
      </c>
      <c r="K461" s="4">
        <v>10.0</v>
      </c>
      <c r="L461" s="4">
        <v>2014.0</v>
      </c>
      <c r="M461" s="4">
        <v>4.0</v>
      </c>
      <c r="N461" s="4">
        <v>6.0</v>
      </c>
      <c r="O461" s="4">
        <v>2026.0</v>
      </c>
      <c r="P461" s="4" t="s">
        <v>105</v>
      </c>
      <c r="Q461" s="4" t="s">
        <v>51</v>
      </c>
      <c r="R461" s="4" t="s">
        <v>52</v>
      </c>
      <c r="S461" s="4" t="s">
        <v>106</v>
      </c>
      <c r="T461" s="4" t="s">
        <v>91</v>
      </c>
      <c r="U461" s="4">
        <v>2005.0</v>
      </c>
      <c r="V461" s="4">
        <v>3.0</v>
      </c>
      <c r="W461" s="1"/>
      <c r="X461" s="4" t="s">
        <v>55</v>
      </c>
      <c r="Y461" s="4" t="s">
        <v>45</v>
      </c>
      <c r="Z461" s="8" t="s">
        <v>47</v>
      </c>
      <c r="AA461" s="4" t="s">
        <v>1976</v>
      </c>
      <c r="AB461" s="4" t="s">
        <v>2399</v>
      </c>
      <c r="AC461" s="4" t="s">
        <v>2400</v>
      </c>
      <c r="AD461" s="8" t="s">
        <v>2209</v>
      </c>
      <c r="AE461" s="4" t="s">
        <v>2108</v>
      </c>
      <c r="AF461" s="4" t="s">
        <v>1687</v>
      </c>
      <c r="AG461" s="4" t="s">
        <v>62</v>
      </c>
      <c r="AH461" s="4">
        <v>9.0</v>
      </c>
      <c r="AI461" s="4">
        <v>9.0</v>
      </c>
      <c r="AJ461" s="4">
        <v>8.0</v>
      </c>
      <c r="AK461" s="1">
        <f t="shared" si="1"/>
        <v>26</v>
      </c>
      <c r="AL461" s="4">
        <v>1.0</v>
      </c>
      <c r="AM461" s="4">
        <v>165.0</v>
      </c>
      <c r="AN461" s="1">
        <f t="shared" ref="AN461:AN472" si="21">AM461*AL461</f>
        <v>165</v>
      </c>
      <c r="AO461" s="1">
        <f t="shared" ref="AO461:AO472" si="22">(AH461*5)/100+(AI461*5)/100+(AJ461*5)/100+1/AN461</f>
        <v>1.306060606</v>
      </c>
      <c r="AP461" s="4" t="s">
        <v>1264</v>
      </c>
    </row>
    <row r="462" ht="12.75" customHeight="1">
      <c r="A462" s="4" t="s">
        <v>654</v>
      </c>
      <c r="B462" s="4" t="s">
        <v>655</v>
      </c>
      <c r="C462" s="4" t="s">
        <v>44</v>
      </c>
      <c r="D462" s="8" t="s">
        <v>45</v>
      </c>
      <c r="E462" s="8" t="s">
        <v>46</v>
      </c>
      <c r="F462" s="4" t="s">
        <v>140</v>
      </c>
      <c r="G462" s="4" t="s">
        <v>2401</v>
      </c>
      <c r="H462" s="4" t="s">
        <v>65</v>
      </c>
      <c r="I462" s="4" t="s">
        <v>1863</v>
      </c>
      <c r="J462" s="4">
        <v>21.0</v>
      </c>
      <c r="K462" s="4">
        <v>20.0</v>
      </c>
      <c r="L462" s="4">
        <v>2026.0</v>
      </c>
      <c r="M462" s="4">
        <v>23.0</v>
      </c>
      <c r="N462" s="4">
        <v>6.0</v>
      </c>
      <c r="O462" s="4">
        <v>2026.0</v>
      </c>
      <c r="P462" s="4" t="s">
        <v>105</v>
      </c>
      <c r="Q462" s="4" t="s">
        <v>51</v>
      </c>
      <c r="R462" s="4" t="s">
        <v>52</v>
      </c>
      <c r="S462" s="4" t="s">
        <v>301</v>
      </c>
      <c r="T462" s="4" t="s">
        <v>2402</v>
      </c>
      <c r="U462" s="4">
        <v>2002.0</v>
      </c>
      <c r="V462" s="4">
        <v>4.0</v>
      </c>
      <c r="W462" s="4">
        <v>12.0</v>
      </c>
      <c r="X462" s="4" t="s">
        <v>55</v>
      </c>
      <c r="Y462" s="4" t="s">
        <v>45</v>
      </c>
      <c r="Z462" s="4" t="s">
        <v>140</v>
      </c>
      <c r="AA462" s="4" t="s">
        <v>2403</v>
      </c>
      <c r="AB462" s="4" t="s">
        <v>2403</v>
      </c>
      <c r="AC462" s="4" t="s">
        <v>2234</v>
      </c>
      <c r="AD462" s="4" t="s">
        <v>2000</v>
      </c>
      <c r="AE462" s="4" t="s">
        <v>60</v>
      </c>
      <c r="AF462" s="4" t="s">
        <v>1687</v>
      </c>
      <c r="AG462" s="4" t="s">
        <v>62</v>
      </c>
      <c r="AH462" s="4">
        <v>9.0</v>
      </c>
      <c r="AI462" s="4">
        <v>8.0</v>
      </c>
      <c r="AJ462" s="4">
        <v>8.0</v>
      </c>
      <c r="AK462" s="1">
        <f t="shared" si="1"/>
        <v>25</v>
      </c>
      <c r="AL462" s="4">
        <v>1.0</v>
      </c>
      <c r="AM462" s="4">
        <v>443.0</v>
      </c>
      <c r="AN462" s="1">
        <f t="shared" si="21"/>
        <v>443</v>
      </c>
      <c r="AO462" s="1">
        <f t="shared" si="22"/>
        <v>1.252257336</v>
      </c>
      <c r="AP462" s="4" t="s">
        <v>656</v>
      </c>
    </row>
    <row r="463" ht="12.75" customHeight="1">
      <c r="A463" s="4" t="s">
        <v>645</v>
      </c>
      <c r="B463" s="4" t="s">
        <v>646</v>
      </c>
      <c r="C463" s="4" t="s">
        <v>44</v>
      </c>
      <c r="D463" s="4" t="s">
        <v>99</v>
      </c>
      <c r="E463" s="4" t="s">
        <v>173</v>
      </c>
      <c r="F463" s="4" t="s">
        <v>179</v>
      </c>
      <c r="G463" s="4" t="s">
        <v>646</v>
      </c>
      <c r="H463" s="4" t="s">
        <v>65</v>
      </c>
      <c r="I463" s="4" t="s">
        <v>1684</v>
      </c>
      <c r="J463" s="4">
        <v>21.0</v>
      </c>
      <c r="K463" s="4">
        <v>20.0</v>
      </c>
      <c r="L463" s="4">
        <v>2021.0</v>
      </c>
      <c r="M463" s="4">
        <v>27.0</v>
      </c>
      <c r="N463" s="4">
        <v>6.0</v>
      </c>
      <c r="O463" s="4">
        <v>2026.0</v>
      </c>
      <c r="P463" s="4" t="s">
        <v>105</v>
      </c>
      <c r="Q463" s="4" t="s">
        <v>51</v>
      </c>
      <c r="R463" s="4" t="s">
        <v>52</v>
      </c>
      <c r="S463" s="4" t="s">
        <v>106</v>
      </c>
      <c r="T463" s="4" t="s">
        <v>1924</v>
      </c>
      <c r="U463" s="4">
        <v>1961.0</v>
      </c>
      <c r="V463" s="4">
        <v>8.0</v>
      </c>
      <c r="W463" s="4">
        <v>13.0</v>
      </c>
      <c r="X463" s="4" t="s">
        <v>55</v>
      </c>
      <c r="Y463" s="4" t="s">
        <v>99</v>
      </c>
      <c r="Z463" s="4" t="s">
        <v>181</v>
      </c>
      <c r="AA463" s="4" t="s">
        <v>1894</v>
      </c>
      <c r="AB463" s="4" t="s">
        <v>1894</v>
      </c>
      <c r="AC463" s="4" t="s">
        <v>2404</v>
      </c>
      <c r="AD463" s="4" t="s">
        <v>2047</v>
      </c>
      <c r="AE463" s="4" t="s">
        <v>60</v>
      </c>
      <c r="AF463" s="4" t="s">
        <v>1687</v>
      </c>
      <c r="AG463" s="4" t="s">
        <v>62</v>
      </c>
      <c r="AH463" s="4">
        <v>9.0</v>
      </c>
      <c r="AI463" s="4">
        <v>9.0</v>
      </c>
      <c r="AJ463" s="4">
        <v>8.0</v>
      </c>
      <c r="AK463" s="1">
        <f t="shared" si="1"/>
        <v>26</v>
      </c>
      <c r="AL463" s="4">
        <v>1.0</v>
      </c>
      <c r="AM463" s="4">
        <v>155.0</v>
      </c>
      <c r="AN463" s="1">
        <f t="shared" si="21"/>
        <v>155</v>
      </c>
      <c r="AO463" s="1">
        <f t="shared" si="22"/>
        <v>1.306451613</v>
      </c>
      <c r="AP463" s="4" t="s">
        <v>647</v>
      </c>
    </row>
    <row r="464" ht="12.75" customHeight="1">
      <c r="A464" s="4" t="s">
        <v>1047</v>
      </c>
      <c r="B464" s="4" t="s">
        <v>1048</v>
      </c>
      <c r="C464" s="4" t="s">
        <v>44</v>
      </c>
      <c r="D464" s="4" t="s">
        <v>45</v>
      </c>
      <c r="E464" s="4" t="s">
        <v>144</v>
      </c>
      <c r="F464" s="4" t="s">
        <v>145</v>
      </c>
      <c r="G464" s="4" t="s">
        <v>2405</v>
      </c>
      <c r="H464" s="4" t="s">
        <v>65</v>
      </c>
      <c r="I464" s="4" t="s">
        <v>1997</v>
      </c>
      <c r="J464" s="4">
        <v>20.0</v>
      </c>
      <c r="K464" s="4">
        <v>90.0</v>
      </c>
      <c r="L464" s="4">
        <v>1996.0</v>
      </c>
      <c r="M464" s="4">
        <v>30.0</v>
      </c>
      <c r="N464" s="4">
        <v>6.0</v>
      </c>
      <c r="O464" s="4">
        <v>2026.0</v>
      </c>
      <c r="P464" s="4" t="s">
        <v>105</v>
      </c>
      <c r="Q464" s="4" t="s">
        <v>51</v>
      </c>
      <c r="R464" s="4" t="s">
        <v>52</v>
      </c>
      <c r="S464" s="4" t="s">
        <v>106</v>
      </c>
      <c r="T464" s="4" t="s">
        <v>2406</v>
      </c>
      <c r="U464" s="4">
        <v>1921.0</v>
      </c>
      <c r="V464" s="1"/>
      <c r="W464" s="1"/>
      <c r="X464" s="4" t="s">
        <v>55</v>
      </c>
      <c r="Y464" s="4" t="s">
        <v>45</v>
      </c>
      <c r="Z464" s="4" t="s">
        <v>2407</v>
      </c>
      <c r="AA464" s="4" t="s">
        <v>2408</v>
      </c>
      <c r="AB464" s="4" t="s">
        <v>2409</v>
      </c>
      <c r="AC464" s="4" t="s">
        <v>522</v>
      </c>
      <c r="AD464" s="4" t="s">
        <v>2410</v>
      </c>
      <c r="AE464" s="4" t="s">
        <v>60</v>
      </c>
      <c r="AF464" s="4" t="s">
        <v>1754</v>
      </c>
      <c r="AG464" s="4" t="s">
        <v>62</v>
      </c>
      <c r="AH464" s="4">
        <v>8.0</v>
      </c>
      <c r="AI464" s="4">
        <v>9.0</v>
      </c>
      <c r="AJ464" s="4">
        <v>8.0</v>
      </c>
      <c r="AK464" s="1">
        <f t="shared" si="1"/>
        <v>25</v>
      </c>
      <c r="AL464" s="4">
        <v>1.0</v>
      </c>
      <c r="AM464" s="4">
        <v>173.0</v>
      </c>
      <c r="AN464" s="1">
        <f t="shared" si="21"/>
        <v>173</v>
      </c>
      <c r="AO464" s="1">
        <f t="shared" si="22"/>
        <v>1.255780347</v>
      </c>
      <c r="AP464" s="4" t="s">
        <v>1049</v>
      </c>
    </row>
    <row r="465" ht="12.75" customHeight="1">
      <c r="A465" s="4" t="s">
        <v>1205</v>
      </c>
      <c r="B465" s="4" t="s">
        <v>1206</v>
      </c>
      <c r="C465" s="4" t="s">
        <v>44</v>
      </c>
      <c r="D465" s="8" t="s">
        <v>45</v>
      </c>
      <c r="E465" s="8" t="s">
        <v>46</v>
      </c>
      <c r="F465" s="8" t="s">
        <v>47</v>
      </c>
      <c r="G465" s="4" t="s">
        <v>1206</v>
      </c>
      <c r="H465" s="4" t="s">
        <v>65</v>
      </c>
      <c r="I465" s="4" t="s">
        <v>421</v>
      </c>
      <c r="J465" s="4">
        <v>20.0</v>
      </c>
      <c r="K465" s="4">
        <v>40.0</v>
      </c>
      <c r="L465" s="4">
        <v>1948.0</v>
      </c>
      <c r="M465" s="4">
        <v>16.0</v>
      </c>
      <c r="N465" s="4">
        <v>7.0</v>
      </c>
      <c r="O465" s="4">
        <v>2026.0</v>
      </c>
      <c r="P465" s="4" t="s">
        <v>105</v>
      </c>
      <c r="Q465" s="4" t="s">
        <v>51</v>
      </c>
      <c r="R465" s="4" t="s">
        <v>52</v>
      </c>
      <c r="S465" s="4" t="s">
        <v>238</v>
      </c>
      <c r="T465" s="1" t="s">
        <v>239</v>
      </c>
      <c r="U465" s="4">
        <v>1921.0</v>
      </c>
      <c r="V465" s="1"/>
      <c r="W465" s="1"/>
      <c r="X465" s="4" t="s">
        <v>55</v>
      </c>
      <c r="Y465" s="4" t="s">
        <v>45</v>
      </c>
      <c r="Z465" s="4" t="s">
        <v>47</v>
      </c>
      <c r="AA465" s="4" t="s">
        <v>226</v>
      </c>
      <c r="AB465" s="4" t="s">
        <v>2411</v>
      </c>
      <c r="AC465" s="4" t="s">
        <v>2412</v>
      </c>
      <c r="AD465" s="4" t="s">
        <v>2209</v>
      </c>
      <c r="AE465" s="4" t="s">
        <v>60</v>
      </c>
      <c r="AF465" s="4" t="s">
        <v>1754</v>
      </c>
      <c r="AG465" s="4" t="s">
        <v>62</v>
      </c>
      <c r="AH465" s="4">
        <v>8.0</v>
      </c>
      <c r="AI465" s="4">
        <v>9.0</v>
      </c>
      <c r="AJ465" s="4">
        <v>8.0</v>
      </c>
      <c r="AK465" s="1">
        <f t="shared" si="1"/>
        <v>25</v>
      </c>
      <c r="AL465" s="4">
        <v>1.0</v>
      </c>
      <c r="AM465" s="4">
        <v>300.0</v>
      </c>
      <c r="AN465" s="1">
        <f t="shared" si="21"/>
        <v>300</v>
      </c>
      <c r="AO465" s="1">
        <f t="shared" si="22"/>
        <v>1.253333333</v>
      </c>
      <c r="AP465" s="4" t="s">
        <v>1207</v>
      </c>
    </row>
    <row r="466" ht="12.75" customHeight="1">
      <c r="A466" s="4" t="s">
        <v>1594</v>
      </c>
      <c r="B466" s="4" t="s">
        <v>1595</v>
      </c>
      <c r="C466" s="4" t="s">
        <v>44</v>
      </c>
      <c r="D466" s="8" t="s">
        <v>45</v>
      </c>
      <c r="E466" s="4" t="s">
        <v>124</v>
      </c>
      <c r="F466" s="8" t="s">
        <v>126</v>
      </c>
      <c r="G466" s="4" t="s">
        <v>2413</v>
      </c>
      <c r="H466" s="4" t="s">
        <v>48</v>
      </c>
      <c r="I466" s="4" t="s">
        <v>1679</v>
      </c>
      <c r="J466" s="4">
        <v>21.0</v>
      </c>
      <c r="K466" s="4">
        <v>20.0</v>
      </c>
      <c r="L466" s="4">
        <v>2026.0</v>
      </c>
      <c r="M466" s="4">
        <v>21.0</v>
      </c>
      <c r="N466" s="4">
        <v>7.0</v>
      </c>
      <c r="O466" s="4">
        <v>2026.0</v>
      </c>
      <c r="P466" s="4" t="s">
        <v>105</v>
      </c>
      <c r="Q466" s="4" t="s">
        <v>51</v>
      </c>
      <c r="R466" s="4" t="s">
        <v>283</v>
      </c>
      <c r="S466" s="4" t="s">
        <v>106</v>
      </c>
      <c r="T466" s="4" t="s">
        <v>1710</v>
      </c>
      <c r="U466" s="4">
        <v>2021.0</v>
      </c>
      <c r="V466" s="4">
        <v>10.0</v>
      </c>
      <c r="W466" s="4">
        <v>11.0</v>
      </c>
      <c r="X466" s="4" t="s">
        <v>55</v>
      </c>
      <c r="Y466" s="4" t="s">
        <v>45</v>
      </c>
      <c r="Z466" s="4" t="s">
        <v>126</v>
      </c>
      <c r="AA466" s="4" t="s">
        <v>2414</v>
      </c>
      <c r="AB466" s="4" t="s">
        <v>2415</v>
      </c>
      <c r="AC466" s="4" t="s">
        <v>522</v>
      </c>
      <c r="AD466" s="4" t="s">
        <v>1873</v>
      </c>
      <c r="AE466" s="4" t="s">
        <v>60</v>
      </c>
      <c r="AF466" s="4" t="s">
        <v>1687</v>
      </c>
      <c r="AG466" s="4" t="s">
        <v>62</v>
      </c>
      <c r="AH466" s="4">
        <v>9.0</v>
      </c>
      <c r="AI466" s="4">
        <v>8.0</v>
      </c>
      <c r="AJ466" s="4">
        <v>7.0</v>
      </c>
      <c r="AK466" s="1">
        <f t="shared" si="1"/>
        <v>24</v>
      </c>
      <c r="AL466" s="4">
        <v>1.0</v>
      </c>
      <c r="AM466" s="4">
        <v>329.0</v>
      </c>
      <c r="AN466" s="1">
        <f t="shared" si="21"/>
        <v>329</v>
      </c>
      <c r="AO466" s="1">
        <f t="shared" si="22"/>
        <v>1.203039514</v>
      </c>
      <c r="AP466" s="4" t="s">
        <v>1596</v>
      </c>
    </row>
    <row r="467" ht="12.75" customHeight="1">
      <c r="A467" s="4" t="s">
        <v>702</v>
      </c>
      <c r="B467" s="4" t="s">
        <v>703</v>
      </c>
      <c r="C467" s="4" t="s">
        <v>44</v>
      </c>
      <c r="D467" s="4" t="s">
        <v>99</v>
      </c>
      <c r="E467" s="4" t="s">
        <v>180</v>
      </c>
      <c r="F467" s="4" t="s">
        <v>183</v>
      </c>
      <c r="G467" s="4" t="s">
        <v>2416</v>
      </c>
      <c r="H467" s="4" t="s">
        <v>48</v>
      </c>
      <c r="I467" s="4" t="s">
        <v>2417</v>
      </c>
      <c r="J467" s="4">
        <v>20.0</v>
      </c>
      <c r="K467" s="4">
        <v>70.0</v>
      </c>
      <c r="L467" s="4">
        <v>1970.0</v>
      </c>
      <c r="M467" s="4">
        <v>29.0</v>
      </c>
      <c r="N467" s="4">
        <v>7.0</v>
      </c>
      <c r="O467" s="4">
        <v>2026.0</v>
      </c>
      <c r="P467" s="4" t="s">
        <v>105</v>
      </c>
      <c r="Q467" s="4" t="s">
        <v>51</v>
      </c>
      <c r="R467" s="4" t="s">
        <v>52</v>
      </c>
      <c r="S467" s="4" t="s">
        <v>106</v>
      </c>
      <c r="T467" s="4" t="s">
        <v>495</v>
      </c>
      <c r="U467" s="4">
        <v>1973.0</v>
      </c>
      <c r="V467" s="4">
        <v>9.0</v>
      </c>
      <c r="W467" s="4">
        <v>30.0</v>
      </c>
      <c r="X467" s="4" t="s">
        <v>55</v>
      </c>
      <c r="Y467" s="4" t="s">
        <v>99</v>
      </c>
      <c r="Z467" s="4" t="s">
        <v>183</v>
      </c>
      <c r="AA467" s="4" t="s">
        <v>614</v>
      </c>
      <c r="AB467" s="4" t="s">
        <v>2418</v>
      </c>
      <c r="AC467" s="4" t="s">
        <v>561</v>
      </c>
      <c r="AD467" s="4" t="s">
        <v>2060</v>
      </c>
      <c r="AE467" s="4" t="s">
        <v>60</v>
      </c>
      <c r="AF467" s="4" t="s">
        <v>1687</v>
      </c>
      <c r="AG467" s="4" t="s">
        <v>62</v>
      </c>
      <c r="AH467" s="4">
        <v>8.0</v>
      </c>
      <c r="AI467" s="4">
        <v>9.0</v>
      </c>
      <c r="AJ467" s="4">
        <v>8.0</v>
      </c>
      <c r="AK467" s="1">
        <f t="shared" si="1"/>
        <v>25</v>
      </c>
      <c r="AL467" s="4">
        <v>1.0</v>
      </c>
      <c r="AM467" s="4">
        <v>142.0</v>
      </c>
      <c r="AN467" s="1">
        <f t="shared" si="21"/>
        <v>142</v>
      </c>
      <c r="AO467" s="1">
        <f t="shared" si="22"/>
        <v>1.257042254</v>
      </c>
      <c r="AP467" s="4" t="s">
        <v>704</v>
      </c>
    </row>
    <row r="468" ht="12.75" customHeight="1">
      <c r="A468" s="4" t="s">
        <v>1421</v>
      </c>
      <c r="B468" s="4" t="s">
        <v>1422</v>
      </c>
      <c r="C468" s="4" t="s">
        <v>44</v>
      </c>
      <c r="D468" s="4" t="s">
        <v>99</v>
      </c>
      <c r="E468" s="4" t="s">
        <v>187</v>
      </c>
      <c r="F468" s="4" t="s">
        <v>195</v>
      </c>
      <c r="G468" s="4" t="s">
        <v>2419</v>
      </c>
      <c r="H468" s="4" t="s">
        <v>65</v>
      </c>
      <c r="I468" s="4" t="s">
        <v>1965</v>
      </c>
      <c r="J468" s="4">
        <v>20.0</v>
      </c>
      <c r="K468" s="4">
        <v>20.0</v>
      </c>
      <c r="L468" s="4">
        <v>1929.0</v>
      </c>
      <c r="M468" s="4">
        <v>30.0</v>
      </c>
      <c r="N468" s="4">
        <v>7.0</v>
      </c>
      <c r="O468" s="4">
        <v>2026.0</v>
      </c>
      <c r="P468" s="4" t="s">
        <v>105</v>
      </c>
      <c r="Q468" s="4" t="s">
        <v>51</v>
      </c>
      <c r="R468" s="4" t="s">
        <v>283</v>
      </c>
      <c r="S468" s="4" t="s">
        <v>284</v>
      </c>
      <c r="T468" s="4" t="s">
        <v>2420</v>
      </c>
      <c r="U468" s="4">
        <v>1903.0</v>
      </c>
      <c r="V468" s="4">
        <v>2.0</v>
      </c>
      <c r="W468" s="4">
        <v>17.0</v>
      </c>
      <c r="X468" s="4" t="s">
        <v>55</v>
      </c>
      <c r="Y468" s="4" t="s">
        <v>99</v>
      </c>
      <c r="Z468" s="4" t="s">
        <v>2421</v>
      </c>
      <c r="AA468" s="4" t="s">
        <v>2422</v>
      </c>
      <c r="AB468" s="4" t="s">
        <v>2423</v>
      </c>
      <c r="AC468" s="4" t="s">
        <v>1673</v>
      </c>
      <c r="AD468" s="4" t="s">
        <v>1700</v>
      </c>
      <c r="AE468" s="4" t="s">
        <v>60</v>
      </c>
      <c r="AF468" s="4" t="s">
        <v>1687</v>
      </c>
      <c r="AG468" s="4" t="s">
        <v>62</v>
      </c>
      <c r="AH468" s="4">
        <v>7.0</v>
      </c>
      <c r="AI468" s="4">
        <v>8.0</v>
      </c>
      <c r="AJ468" s="4">
        <v>7.0</v>
      </c>
      <c r="AK468" s="1">
        <f t="shared" si="1"/>
        <v>22</v>
      </c>
      <c r="AL468" s="4">
        <v>1.0</v>
      </c>
      <c r="AM468" s="4">
        <v>91.0</v>
      </c>
      <c r="AN468" s="1">
        <f t="shared" si="21"/>
        <v>91</v>
      </c>
      <c r="AO468" s="1">
        <f t="shared" si="22"/>
        <v>1.110989011</v>
      </c>
      <c r="AP468" s="4" t="s">
        <v>1423</v>
      </c>
    </row>
    <row r="469" ht="12.75" customHeight="1">
      <c r="A469" s="4" t="s">
        <v>2424</v>
      </c>
      <c r="B469" s="4" t="s">
        <v>2425</v>
      </c>
      <c r="C469" s="4" t="s">
        <v>117</v>
      </c>
      <c r="D469" s="8" t="s">
        <v>45</v>
      </c>
      <c r="E469" s="8" t="s">
        <v>46</v>
      </c>
      <c r="F469" s="8" t="s">
        <v>47</v>
      </c>
      <c r="G469" s="4" t="s">
        <v>2425</v>
      </c>
      <c r="H469" s="4" t="s">
        <v>2285</v>
      </c>
      <c r="I469" s="4" t="s">
        <v>2333</v>
      </c>
      <c r="J469" s="4">
        <v>21.0</v>
      </c>
      <c r="K469" s="4">
        <v>20.0</v>
      </c>
      <c r="L469" s="4">
        <v>2026.0</v>
      </c>
      <c r="M469" s="4">
        <v>20.0</v>
      </c>
      <c r="N469" s="4">
        <v>4.0</v>
      </c>
      <c r="O469" s="4">
        <v>2026.0</v>
      </c>
      <c r="P469" s="4" t="s">
        <v>105</v>
      </c>
      <c r="Q469" s="4" t="s">
        <v>51</v>
      </c>
      <c r="R469" s="4" t="s">
        <v>67</v>
      </c>
      <c r="S469" s="4" t="s">
        <v>53</v>
      </c>
      <c r="T469" s="4" t="s">
        <v>2147</v>
      </c>
      <c r="U469" s="4">
        <v>2026.0</v>
      </c>
      <c r="V469" s="1"/>
      <c r="W469" s="1"/>
      <c r="X469" s="4" t="s">
        <v>30</v>
      </c>
      <c r="Y469" s="4" t="s">
        <v>30</v>
      </c>
      <c r="Z469" s="4" t="s">
        <v>68</v>
      </c>
      <c r="AA469" s="4" t="s">
        <v>2426</v>
      </c>
      <c r="AB469" s="4" t="s">
        <v>478</v>
      </c>
      <c r="AC469" s="4" t="s">
        <v>2412</v>
      </c>
      <c r="AD469" s="4" t="s">
        <v>2427</v>
      </c>
      <c r="AE469" s="4" t="s">
        <v>60</v>
      </c>
      <c r="AF469" s="4" t="s">
        <v>2333</v>
      </c>
      <c r="AG469" s="4" t="s">
        <v>62</v>
      </c>
      <c r="AH469" s="4">
        <v>0.0</v>
      </c>
      <c r="AI469" s="4">
        <v>2.0</v>
      </c>
      <c r="AJ469" s="4">
        <v>3.0</v>
      </c>
      <c r="AK469" s="1">
        <f t="shared" si="1"/>
        <v>5</v>
      </c>
      <c r="AL469" s="4">
        <v>1.0</v>
      </c>
      <c r="AM469" s="4">
        <v>60.0</v>
      </c>
      <c r="AN469" s="1">
        <f t="shared" si="21"/>
        <v>60</v>
      </c>
      <c r="AO469" s="1">
        <f t="shared" si="22"/>
        <v>0.2666666667</v>
      </c>
      <c r="AP469" s="4" t="s">
        <v>2428</v>
      </c>
    </row>
    <row r="470" ht="12.75" customHeight="1">
      <c r="A470" s="4" t="s">
        <v>2429</v>
      </c>
      <c r="B470" s="4" t="s">
        <v>2430</v>
      </c>
      <c r="C470" s="4" t="s">
        <v>117</v>
      </c>
      <c r="D470" s="8" t="s">
        <v>45</v>
      </c>
      <c r="E470" s="8" t="s">
        <v>46</v>
      </c>
      <c r="F470" s="8" t="s">
        <v>47</v>
      </c>
      <c r="G470" s="4" t="s">
        <v>2430</v>
      </c>
      <c r="H470" s="4" t="s">
        <v>2285</v>
      </c>
      <c r="I470" s="4" t="s">
        <v>2429</v>
      </c>
      <c r="J470" s="4">
        <v>21.0</v>
      </c>
      <c r="K470" s="4">
        <v>10.0</v>
      </c>
      <c r="L470" s="4">
        <v>2011.0</v>
      </c>
      <c r="M470" s="4">
        <v>2.0</v>
      </c>
      <c r="N470" s="4">
        <v>8.0</v>
      </c>
      <c r="O470" s="4">
        <v>2026.0</v>
      </c>
      <c r="P470" s="4" t="s">
        <v>105</v>
      </c>
      <c r="Q470" s="4" t="s">
        <v>51</v>
      </c>
      <c r="R470" s="4" t="s">
        <v>67</v>
      </c>
      <c r="S470" s="4" t="s">
        <v>67</v>
      </c>
      <c r="T470" s="4" t="s">
        <v>2431</v>
      </c>
      <c r="U470" s="4">
        <v>1863.0</v>
      </c>
      <c r="V470" s="1"/>
      <c r="W470" s="1"/>
      <c r="X470" s="4" t="s">
        <v>30</v>
      </c>
      <c r="Y470" s="4" t="s">
        <v>30</v>
      </c>
      <c r="Z470" s="4" t="s">
        <v>68</v>
      </c>
      <c r="AA470" s="4" t="s">
        <v>68</v>
      </c>
      <c r="AB470" s="4" t="s">
        <v>68</v>
      </c>
      <c r="AC470" s="4" t="s">
        <v>58</v>
      </c>
      <c r="AD470" s="4" t="s">
        <v>2432</v>
      </c>
      <c r="AE470" s="4" t="s">
        <v>2433</v>
      </c>
      <c r="AF470" s="4" t="s">
        <v>2434</v>
      </c>
      <c r="AG470" s="4" t="s">
        <v>62</v>
      </c>
      <c r="AH470" s="4">
        <v>5.0</v>
      </c>
      <c r="AI470" s="4">
        <v>5.0</v>
      </c>
      <c r="AJ470" s="4">
        <v>5.0</v>
      </c>
      <c r="AK470" s="1">
        <f t="shared" si="1"/>
        <v>15</v>
      </c>
      <c r="AL470" s="4">
        <v>1.0</v>
      </c>
      <c r="AM470" s="4">
        <v>10.0</v>
      </c>
      <c r="AN470" s="1">
        <f t="shared" si="21"/>
        <v>10</v>
      </c>
      <c r="AO470" s="1">
        <f t="shared" si="22"/>
        <v>0.85</v>
      </c>
      <c r="AP470" s="4" t="s">
        <v>2435</v>
      </c>
    </row>
    <row r="471" ht="12.75" customHeight="1">
      <c r="A471" s="4" t="s">
        <v>905</v>
      </c>
      <c r="B471" s="4" t="s">
        <v>906</v>
      </c>
      <c r="C471" s="4" t="s">
        <v>44</v>
      </c>
      <c r="D471" s="8" t="s">
        <v>45</v>
      </c>
      <c r="E471" s="4" t="s">
        <v>124</v>
      </c>
      <c r="F471" s="8" t="s">
        <v>126</v>
      </c>
      <c r="G471" s="4" t="s">
        <v>906</v>
      </c>
      <c r="H471" s="4" t="s">
        <v>65</v>
      </c>
      <c r="I471" s="4" t="s">
        <v>1863</v>
      </c>
      <c r="J471" s="4">
        <v>21.0</v>
      </c>
      <c r="K471" s="4">
        <v>20.0</v>
      </c>
      <c r="L471" s="4">
        <v>2025.0</v>
      </c>
      <c r="M471" s="4">
        <v>6.0</v>
      </c>
      <c r="N471" s="4">
        <v>8.0</v>
      </c>
      <c r="O471" s="4">
        <v>2026.0</v>
      </c>
      <c r="P471" s="4" t="s">
        <v>105</v>
      </c>
      <c r="Q471" s="4" t="s">
        <v>51</v>
      </c>
      <c r="R471" s="4" t="s">
        <v>52</v>
      </c>
      <c r="S471" s="4" t="s">
        <v>301</v>
      </c>
      <c r="T471" s="4" t="s">
        <v>2436</v>
      </c>
      <c r="U471" s="4">
        <v>1860.0</v>
      </c>
      <c r="V471" s="4">
        <v>12.0</v>
      </c>
      <c r="W471" s="4">
        <v>31.0</v>
      </c>
      <c r="X471" s="4" t="s">
        <v>55</v>
      </c>
      <c r="Y471" s="4" t="s">
        <v>45</v>
      </c>
      <c r="Z471" s="4" t="s">
        <v>126</v>
      </c>
      <c r="AA471" s="4" t="s">
        <v>2437</v>
      </c>
      <c r="AB471" s="4" t="s">
        <v>2438</v>
      </c>
      <c r="AC471" s="4" t="s">
        <v>2439</v>
      </c>
      <c r="AD471" s="4" t="s">
        <v>418</v>
      </c>
      <c r="AE471" s="4" t="s">
        <v>422</v>
      </c>
      <c r="AF471" s="4" t="s">
        <v>1687</v>
      </c>
      <c r="AG471" s="4" t="s">
        <v>2386</v>
      </c>
      <c r="AH471" s="4">
        <v>6.0</v>
      </c>
      <c r="AI471" s="4">
        <v>5.0</v>
      </c>
      <c r="AJ471" s="4">
        <v>6.0</v>
      </c>
      <c r="AK471" s="1">
        <f t="shared" si="1"/>
        <v>17</v>
      </c>
      <c r="AL471" s="4">
        <v>1.0</v>
      </c>
      <c r="AM471" s="4">
        <v>410.0</v>
      </c>
      <c r="AN471" s="1">
        <f t="shared" si="21"/>
        <v>410</v>
      </c>
      <c r="AO471" s="1">
        <f t="shared" si="22"/>
        <v>0.8524390244</v>
      </c>
      <c r="AP471" s="4" t="s">
        <v>907</v>
      </c>
    </row>
    <row r="472" ht="12.75" customHeight="1">
      <c r="A472" s="4" t="s">
        <v>2440</v>
      </c>
      <c r="B472" s="4" t="s">
        <v>2441</v>
      </c>
      <c r="C472" s="4" t="s">
        <v>117</v>
      </c>
      <c r="D472" s="8" t="s">
        <v>45</v>
      </c>
      <c r="E472" s="8" t="s">
        <v>46</v>
      </c>
      <c r="F472" s="8" t="s">
        <v>47</v>
      </c>
      <c r="G472" s="4" t="s">
        <v>2441</v>
      </c>
      <c r="H472" s="4" t="s">
        <v>65</v>
      </c>
      <c r="I472" s="4" t="s">
        <v>2333</v>
      </c>
      <c r="J472" s="4">
        <v>21.0</v>
      </c>
      <c r="K472" s="4">
        <v>20.0</v>
      </c>
      <c r="L472" s="4">
        <v>2026.0</v>
      </c>
      <c r="M472" s="4">
        <v>8.0</v>
      </c>
      <c r="N472" s="4">
        <v>8.0</v>
      </c>
      <c r="O472" s="4">
        <v>2026.0</v>
      </c>
      <c r="P472" s="4" t="s">
        <v>105</v>
      </c>
      <c r="Q472" s="4" t="s">
        <v>51</v>
      </c>
      <c r="R472" s="4" t="s">
        <v>67</v>
      </c>
      <c r="S472" s="4" t="s">
        <v>67</v>
      </c>
      <c r="T472" s="4" t="s">
        <v>2147</v>
      </c>
      <c r="U472" s="4">
        <v>2026.0</v>
      </c>
      <c r="V472" s="1"/>
      <c r="W472" s="1"/>
      <c r="X472" s="4" t="s">
        <v>55</v>
      </c>
      <c r="Y472" s="4" t="s">
        <v>45</v>
      </c>
      <c r="Z472" s="8" t="s">
        <v>47</v>
      </c>
      <c r="AA472" s="8" t="s">
        <v>47</v>
      </c>
      <c r="AB472" s="8" t="s">
        <v>47</v>
      </c>
      <c r="AC472" s="4" t="s">
        <v>2442</v>
      </c>
      <c r="AD472" s="4" t="s">
        <v>2209</v>
      </c>
      <c r="AE472" s="4" t="s">
        <v>60</v>
      </c>
      <c r="AF472" s="4" t="s">
        <v>2333</v>
      </c>
      <c r="AG472" s="4" t="s">
        <v>62</v>
      </c>
      <c r="AH472" s="4">
        <v>7.0</v>
      </c>
      <c r="AI472" s="4">
        <v>8.0</v>
      </c>
      <c r="AJ472" s="4">
        <v>9.0</v>
      </c>
      <c r="AK472" s="1">
        <f t="shared" si="1"/>
        <v>24</v>
      </c>
      <c r="AL472" s="4">
        <v>1.0</v>
      </c>
      <c r="AM472" s="4">
        <v>33.0</v>
      </c>
      <c r="AN472" s="1">
        <f t="shared" si="21"/>
        <v>33</v>
      </c>
      <c r="AO472" s="1">
        <f t="shared" si="22"/>
        <v>1.23030303</v>
      </c>
      <c r="AP472" s="4" t="s">
        <v>2443</v>
      </c>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row>
    <row r="1000" ht="12.75" customHeight="1">
      <c r="A1000" s="1"/>
      <c r="B1000" s="1"/>
      <c r="C1000" s="1"/>
      <c r="D1000" s="1"/>
      <c r="E1000" s="1"/>
      <c r="F1000" s="1"/>
      <c r="G1000" s="1"/>
      <c r="H1000" s="1"/>
      <c r="I1000" s="1"/>
      <c r="J1000" s="1"/>
      <c r="K1000" s="1"/>
      <c r="L1000" s="1"/>
      <c r="M1000" s="1"/>
      <c r="N1000" s="1"/>
      <c r="O1000" s="1"/>
      <c r="P1000" s="1"/>
      <c r="Q1000" s="1"/>
      <c r="R1000" s="1"/>
      <c r="S1000" s="4"/>
      <c r="T1000" s="1"/>
      <c r="U1000" s="1"/>
      <c r="V1000" s="1"/>
      <c r="W1000" s="1"/>
      <c r="X1000" s="1"/>
      <c r="Y1000" s="1"/>
      <c r="Z1000" s="1"/>
      <c r="AA1000" s="1"/>
      <c r="AB1000" s="1"/>
      <c r="AC1000" s="1"/>
      <c r="AD1000" s="1"/>
      <c r="AE1000" s="1"/>
      <c r="AF1000" s="1"/>
      <c r="AG1000" s="4"/>
      <c r="AH1000" s="1"/>
      <c r="AI1000" s="1"/>
      <c r="AJ1000" s="1"/>
      <c r="AK1000" s="1"/>
      <c r="AL1000" s="1"/>
      <c r="AM1000" s="1"/>
      <c r="AN1000" s="1"/>
      <c r="AO1000" s="1"/>
      <c r="AP1000" s="1"/>
    </row>
  </sheetData>
  <autoFilter ref="$A$1:$AP$1000"/>
  <printOptions/>
  <pageMargins bottom="1.05277777777778" footer="0.0" header="0.0" left="0.7875" right="0.7875" top="1.05277777777778"/>
  <pageSetup paperSize="9" orientation="portrait"/>
  <headerFooter>
    <oddHeader>&amp;C&amp;A</oddHeader>
    <oddFooter>&amp;CPágina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8.25"/>
    <col customWidth="1" min="3" max="3" width="12.63"/>
    <col customWidth="1" min="4" max="4" width="7.5"/>
    <col customWidth="1" min="5" max="7" width="9.38"/>
    <col customWidth="1" min="8" max="9" width="5.38"/>
    <col customWidth="1" min="10" max="10" width="8.63"/>
    <col customWidth="1" min="11" max="11" width="2.88"/>
    <col customWidth="1" min="12" max="12" width="6.88"/>
    <col customWidth="1" min="13" max="13" width="9.25"/>
    <col customWidth="1" min="14" max="17" width="2.88"/>
    <col customWidth="1" min="18" max="19" width="9.38"/>
    <col customWidth="1" min="20" max="20" width="8.63"/>
    <col customWidth="1" min="21" max="22" width="2.88"/>
    <col customWidth="1" min="23" max="23" width="8.63"/>
    <col customWidth="1" min="24" max="27" width="2.88"/>
    <col customWidth="1" min="28" max="28" width="6.88"/>
  </cols>
  <sheetData>
    <row r="1" ht="12.75" customHeight="1">
      <c r="B1" s="1"/>
    </row>
    <row r="2" ht="12.75" customHeight="1">
      <c r="A2" s="1"/>
      <c r="B2" s="2"/>
    </row>
    <row r="3" ht="12.75" customHeight="1"/>
    <row r="4" ht="12.75" customHeight="1">
      <c r="K4" s="1"/>
      <c r="L4" s="1"/>
      <c r="M4" s="1"/>
    </row>
    <row r="5" ht="12.75" customHeight="1">
      <c r="K5" s="5"/>
      <c r="L5" s="5"/>
      <c r="M5" s="6"/>
    </row>
    <row r="6" ht="12.75" customHeight="1">
      <c r="K6" s="1"/>
      <c r="L6" s="1"/>
      <c r="M6" s="7"/>
    </row>
    <row r="7" ht="12.75" customHeight="1">
      <c r="K7" s="1"/>
      <c r="L7" s="1"/>
      <c r="M7" s="7"/>
    </row>
    <row r="8" ht="12.75" customHeight="1">
      <c r="K8" s="1"/>
      <c r="L8" s="1"/>
      <c r="M8" s="7"/>
    </row>
    <row r="9" ht="12.75" customHeight="1">
      <c r="K9" s="1"/>
      <c r="L9" s="1"/>
      <c r="M9" s="7"/>
    </row>
    <row r="10" ht="12.75" customHeight="1">
      <c r="K10" s="1"/>
      <c r="L10" s="1"/>
      <c r="M10" s="7"/>
    </row>
    <row r="11" ht="12.75" customHeight="1">
      <c r="K11" s="1"/>
      <c r="L11" s="1"/>
      <c r="M11" s="7"/>
    </row>
    <row r="12" ht="12.75" customHeight="1">
      <c r="K12" s="1"/>
      <c r="L12" s="1"/>
      <c r="M12" s="7"/>
    </row>
    <row r="13" ht="12.75" customHeight="1">
      <c r="K13" s="1"/>
      <c r="L13" s="1"/>
      <c r="M13" s="7"/>
    </row>
    <row r="14" ht="12.75" customHeight="1">
      <c r="K14" s="1"/>
      <c r="L14" s="1"/>
      <c r="M14" s="7"/>
    </row>
    <row r="15" ht="12.75" customHeight="1">
      <c r="K15" s="7"/>
      <c r="L15" s="7"/>
      <c r="M15" s="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c r="B61" s="1"/>
    </row>
    <row r="62" ht="12.75" customHeight="1">
      <c r="B62" s="1"/>
    </row>
    <row r="63" ht="12.75" customHeight="1">
      <c r="B63" s="1"/>
    </row>
    <row r="64" ht="12.75" customHeight="1">
      <c r="B64" s="1"/>
    </row>
    <row r="65" ht="12.75" customHeight="1">
      <c r="B65" s="1"/>
    </row>
    <row r="66" ht="12.75" customHeight="1">
      <c r="B66" s="1"/>
    </row>
    <row r="67" ht="12.75" customHeight="1">
      <c r="B67" s="1"/>
    </row>
    <row r="68" ht="12.75" customHeight="1">
      <c r="B68" s="1"/>
    </row>
    <row r="69" ht="12.75" customHeight="1">
      <c r="B69" s="1"/>
    </row>
    <row r="70" ht="12.75" customHeight="1">
      <c r="B70" s="1"/>
    </row>
    <row r="71" ht="12.75" customHeight="1">
      <c r="B71" s="1"/>
    </row>
    <row r="72" ht="12.75" customHeight="1">
      <c r="B72" s="1"/>
    </row>
    <row r="73" ht="12.75" customHeight="1">
      <c r="B73" s="1"/>
    </row>
    <row r="74" ht="12.75" customHeight="1">
      <c r="B74" s="1"/>
    </row>
    <row r="75" ht="12.75" customHeight="1">
      <c r="B75" s="1"/>
    </row>
    <row r="76" ht="12.75" customHeight="1">
      <c r="B76" s="1"/>
    </row>
    <row r="77" ht="12.75" customHeight="1">
      <c r="B77" s="1"/>
    </row>
    <row r="78" ht="12.75" customHeight="1">
      <c r="B78" s="1"/>
    </row>
    <row r="79" ht="12.75" customHeight="1">
      <c r="B79" s="1"/>
    </row>
    <row r="80" ht="12.75" customHeight="1">
      <c r="B80" s="1"/>
    </row>
    <row r="81" ht="12.75" customHeight="1">
      <c r="B81" s="1"/>
    </row>
    <row r="82" ht="12.75" customHeight="1">
      <c r="B82" s="1"/>
    </row>
    <row r="83" ht="12.75" customHeight="1">
      <c r="B83" s="1"/>
    </row>
    <row r="84" ht="12.75" customHeight="1">
      <c r="B84" s="1"/>
    </row>
    <row r="85" ht="12.75" customHeight="1">
      <c r="B85" s="1"/>
    </row>
    <row r="86" ht="12.75" customHeight="1">
      <c r="B86" s="1"/>
    </row>
    <row r="87" ht="12.75" customHeight="1">
      <c r="B87" s="1"/>
    </row>
    <row r="88" ht="12.75" customHeight="1">
      <c r="B88" s="1"/>
    </row>
    <row r="89" ht="12.75" customHeight="1">
      <c r="B89" s="1"/>
    </row>
    <row r="90" ht="12.75" customHeight="1">
      <c r="B90" s="1"/>
    </row>
    <row r="91" ht="12.75" customHeight="1">
      <c r="B91" s="1"/>
    </row>
    <row r="92" ht="12.75" customHeight="1">
      <c r="B92" s="1"/>
    </row>
    <row r="93" ht="12.75" customHeight="1">
      <c r="B93" s="1"/>
    </row>
    <row r="94" ht="12.75" customHeight="1">
      <c r="B94" s="1"/>
    </row>
    <row r="95" ht="12.75" customHeight="1">
      <c r="B95" s="1"/>
    </row>
    <row r="96" ht="12.75" customHeight="1">
      <c r="B96" s="1"/>
    </row>
    <row r="97" ht="12.75" customHeight="1">
      <c r="B97" s="1"/>
    </row>
    <row r="98" ht="12.75" customHeight="1">
      <c r="B98" s="1"/>
    </row>
    <row r="99" ht="12.75" customHeight="1">
      <c r="B99" s="1"/>
    </row>
    <row r="100" ht="12.75" customHeight="1">
      <c r="B100" s="1"/>
    </row>
    <row r="101" ht="12.75" customHeight="1">
      <c r="B101" s="1"/>
    </row>
    <row r="102" ht="12.75" customHeight="1">
      <c r="B102" s="1"/>
    </row>
    <row r="103" ht="12.75" customHeight="1">
      <c r="B103" s="1"/>
    </row>
    <row r="104" ht="12.75" customHeight="1">
      <c r="B104" s="1"/>
    </row>
    <row r="105" ht="12.75" customHeight="1">
      <c r="B105" s="1"/>
    </row>
    <row r="106" ht="12.75" customHeight="1">
      <c r="B106" s="1"/>
    </row>
    <row r="107" ht="12.75" customHeight="1">
      <c r="B107" s="1"/>
    </row>
    <row r="108" ht="12.75" customHeight="1">
      <c r="B108" s="1"/>
    </row>
    <row r="109" ht="12.75" customHeight="1">
      <c r="B109" s="1"/>
    </row>
    <row r="110" ht="12.75" customHeight="1">
      <c r="B110" s="1"/>
    </row>
    <row r="111" ht="12.75" customHeight="1">
      <c r="B111" s="1"/>
    </row>
    <row r="112" ht="12.75" customHeight="1">
      <c r="B112" s="1"/>
    </row>
    <row r="113" ht="12.75" customHeight="1">
      <c r="B113" s="1"/>
    </row>
    <row r="114" ht="12.75" customHeight="1">
      <c r="B114" s="1"/>
    </row>
    <row r="115" ht="12.75" customHeight="1">
      <c r="B115" s="1"/>
    </row>
    <row r="116" ht="12.75" customHeight="1">
      <c r="B116" s="1"/>
    </row>
    <row r="117" ht="12.75" customHeight="1">
      <c r="B117" s="1"/>
    </row>
    <row r="118" ht="12.75" customHeight="1">
      <c r="B118" s="1"/>
    </row>
    <row r="119" ht="12.75" customHeight="1">
      <c r="B119" s="1"/>
    </row>
    <row r="120" ht="12.75" customHeight="1">
      <c r="B120" s="1"/>
    </row>
    <row r="121" ht="12.75" customHeight="1">
      <c r="B121" s="1"/>
    </row>
    <row r="122" ht="12.75" customHeight="1">
      <c r="B122" s="1"/>
    </row>
    <row r="123" ht="12.75" customHeight="1">
      <c r="B123" s="1"/>
    </row>
    <row r="124" ht="12.75" customHeight="1">
      <c r="B124" s="1"/>
    </row>
    <row r="125" ht="12.75" customHeight="1">
      <c r="B125" s="1"/>
    </row>
    <row r="126" ht="12.75" customHeight="1">
      <c r="B126" s="1"/>
    </row>
    <row r="127" ht="12.75" customHeight="1">
      <c r="B127" s="1"/>
    </row>
    <row r="128" ht="12.75" customHeight="1">
      <c r="B128" s="1"/>
    </row>
    <row r="129" ht="12.75" customHeight="1">
      <c r="B129" s="1"/>
    </row>
    <row r="130" ht="12.75" customHeight="1">
      <c r="B130" s="1"/>
    </row>
    <row r="131" ht="12.75" customHeight="1">
      <c r="B131" s="1"/>
    </row>
    <row r="132" ht="12.75" customHeight="1">
      <c r="B132" s="1"/>
    </row>
    <row r="133" ht="12.75" customHeight="1">
      <c r="B133" s="1"/>
    </row>
    <row r="134" ht="12.75" customHeight="1">
      <c r="B134" s="1"/>
    </row>
    <row r="135" ht="12.75" customHeight="1">
      <c r="B135" s="1"/>
    </row>
    <row r="136" ht="12.75" customHeight="1">
      <c r="B136" s="1"/>
    </row>
    <row r="137" ht="12.75" customHeight="1">
      <c r="B137" s="1"/>
    </row>
    <row r="138" ht="12.75" customHeight="1">
      <c r="B138" s="1"/>
    </row>
    <row r="139" ht="12.75" customHeight="1">
      <c r="B139" s="1"/>
    </row>
    <row r="140" ht="12.75" customHeight="1">
      <c r="B140" s="1"/>
    </row>
    <row r="141" ht="12.75" customHeight="1">
      <c r="B141" s="1"/>
    </row>
    <row r="142" ht="12.75" customHeight="1">
      <c r="B142" s="1"/>
    </row>
    <row r="143" ht="12.75" customHeight="1">
      <c r="B143" s="1"/>
    </row>
    <row r="144" ht="12.75" customHeight="1">
      <c r="B144" s="1"/>
    </row>
    <row r="145" ht="12.75" customHeight="1">
      <c r="B145" s="1"/>
    </row>
    <row r="146" ht="12.75" customHeight="1">
      <c r="B146" s="1"/>
    </row>
    <row r="147" ht="12.75" customHeight="1">
      <c r="B147" s="1"/>
    </row>
    <row r="148" ht="12.75" customHeight="1">
      <c r="B148" s="1"/>
    </row>
    <row r="149" ht="12.75" customHeight="1">
      <c r="B149" s="1"/>
    </row>
    <row r="150" ht="12.75" customHeight="1">
      <c r="B150" s="1"/>
    </row>
    <row r="151" ht="12.75" customHeight="1">
      <c r="B151" s="1"/>
    </row>
    <row r="152" ht="12.75" customHeight="1">
      <c r="B152" s="1"/>
    </row>
    <row r="153" ht="12.75" customHeight="1">
      <c r="B153" s="1"/>
    </row>
    <row r="154" ht="12.75" customHeight="1">
      <c r="B154" s="1"/>
    </row>
    <row r="155" ht="12.75" customHeight="1">
      <c r="B155" s="1"/>
    </row>
    <row r="156" ht="12.75" customHeight="1">
      <c r="B156" s="1"/>
    </row>
    <row r="157" ht="12.75" customHeight="1">
      <c r="B157" s="1"/>
    </row>
    <row r="158" ht="12.75" customHeight="1">
      <c r="B158" s="1"/>
    </row>
    <row r="159" ht="12.75" customHeight="1">
      <c r="B159" s="1"/>
    </row>
    <row r="160" ht="12.75" customHeight="1">
      <c r="B160" s="1"/>
    </row>
    <row r="161" ht="12.75" customHeight="1">
      <c r="B161" s="1"/>
    </row>
    <row r="162" ht="12.75" customHeight="1">
      <c r="B162" s="1"/>
    </row>
    <row r="163" ht="12.75" customHeight="1">
      <c r="B163" s="1"/>
    </row>
    <row r="164" ht="12.75" customHeight="1">
      <c r="B164" s="1"/>
    </row>
    <row r="165" ht="12.75" customHeight="1">
      <c r="B165" s="1"/>
    </row>
    <row r="166" ht="12.75" customHeight="1">
      <c r="B166" s="1"/>
    </row>
    <row r="167" ht="12.75" customHeight="1">
      <c r="B167" s="1"/>
    </row>
    <row r="168" ht="12.75" customHeight="1">
      <c r="B168" s="1"/>
    </row>
    <row r="169" ht="12.75" customHeight="1">
      <c r="B169" s="1"/>
    </row>
    <row r="170" ht="12.75" customHeight="1">
      <c r="B170" s="1"/>
    </row>
    <row r="171" ht="12.75" customHeight="1">
      <c r="B171" s="1"/>
    </row>
    <row r="172" ht="12.75" customHeight="1">
      <c r="B172" s="1"/>
    </row>
    <row r="173" ht="12.75" customHeight="1">
      <c r="B173" s="1"/>
    </row>
    <row r="174" ht="12.75" customHeight="1">
      <c r="B174" s="1"/>
    </row>
    <row r="175" ht="12.75" customHeight="1">
      <c r="B175" s="1"/>
    </row>
    <row r="176" ht="12.75" customHeight="1">
      <c r="B176" s="1"/>
    </row>
    <row r="177" ht="12.75" customHeight="1">
      <c r="B177" s="1"/>
    </row>
    <row r="178" ht="12.75" customHeight="1">
      <c r="B178" s="1"/>
    </row>
    <row r="179" ht="12.75" customHeight="1">
      <c r="B179" s="1"/>
    </row>
    <row r="180" ht="12.75" customHeight="1">
      <c r="B180" s="1"/>
    </row>
    <row r="181" ht="12.75" customHeight="1">
      <c r="B181" s="1"/>
    </row>
    <row r="182" ht="12.75" customHeight="1">
      <c r="B182" s="1"/>
    </row>
    <row r="183" ht="12.75" customHeight="1">
      <c r="B183" s="1"/>
    </row>
    <row r="184" ht="12.75" customHeight="1">
      <c r="B184" s="1"/>
    </row>
    <row r="185" ht="12.75" customHeight="1">
      <c r="B185" s="1"/>
    </row>
    <row r="186" ht="12.75" customHeight="1">
      <c r="B186" s="1"/>
    </row>
    <row r="187" ht="12.75" customHeight="1">
      <c r="B187" s="1"/>
    </row>
    <row r="188" ht="12.75" customHeight="1">
      <c r="B188" s="1"/>
    </row>
    <row r="189" ht="12.75" customHeight="1">
      <c r="B189" s="1"/>
    </row>
    <row r="190" ht="12.75" customHeight="1">
      <c r="B190" s="1"/>
    </row>
    <row r="191" ht="12.75" customHeight="1">
      <c r="B191" s="1"/>
    </row>
    <row r="192" ht="12.75" customHeight="1">
      <c r="B192" s="1"/>
    </row>
    <row r="193" ht="12.75" customHeight="1">
      <c r="B193" s="1"/>
    </row>
    <row r="194" ht="12.75" customHeight="1">
      <c r="B194" s="1"/>
    </row>
    <row r="195" ht="12.75" customHeight="1">
      <c r="B195" s="1"/>
    </row>
    <row r="196" ht="12.75" customHeight="1">
      <c r="B196" s="1"/>
    </row>
    <row r="197" ht="12.75" customHeight="1">
      <c r="B197" s="1"/>
    </row>
    <row r="198" ht="12.75" customHeight="1">
      <c r="B198" s="1"/>
    </row>
    <row r="199" ht="12.75" customHeight="1">
      <c r="B199" s="1"/>
    </row>
    <row r="200" ht="12.75" customHeight="1">
      <c r="B200" s="1"/>
    </row>
    <row r="201" ht="12.75" customHeight="1">
      <c r="B201" s="1"/>
    </row>
    <row r="202" ht="12.75" customHeight="1">
      <c r="B202" s="1"/>
    </row>
    <row r="203" ht="12.75" customHeight="1">
      <c r="B203" s="1"/>
    </row>
    <row r="204" ht="12.75" customHeight="1">
      <c r="B204" s="1"/>
    </row>
    <row r="205" ht="12.75" customHeight="1">
      <c r="B205" s="1"/>
    </row>
    <row r="206" ht="12.75" customHeight="1">
      <c r="B206" s="1"/>
    </row>
    <row r="207" ht="12.75" customHeight="1">
      <c r="B207" s="1"/>
    </row>
    <row r="208" ht="12.75" customHeight="1">
      <c r="B208" s="1"/>
    </row>
    <row r="209" ht="12.75" customHeight="1">
      <c r="B209" s="1"/>
    </row>
    <row r="210" ht="12.75" customHeight="1">
      <c r="B210" s="1"/>
    </row>
    <row r="211" ht="12.75" customHeight="1">
      <c r="B211" s="1"/>
    </row>
    <row r="212" ht="12.75" customHeight="1">
      <c r="B212" s="1"/>
    </row>
    <row r="213" ht="12.75" customHeight="1">
      <c r="B213" s="1"/>
    </row>
    <row r="214" ht="12.75" customHeight="1">
      <c r="B214" s="1"/>
    </row>
    <row r="215" ht="12.75" customHeight="1">
      <c r="B215" s="1"/>
    </row>
    <row r="216" ht="12.75" customHeight="1">
      <c r="B216" s="1"/>
    </row>
    <row r="217" ht="12.75" customHeight="1">
      <c r="B217" s="1"/>
    </row>
    <row r="218" ht="12.75" customHeight="1">
      <c r="B218" s="1"/>
    </row>
    <row r="219" ht="12.75" customHeight="1">
      <c r="B219" s="1"/>
    </row>
    <row r="220" ht="12.75" customHeight="1">
      <c r="B220" s="1"/>
    </row>
    <row r="221" ht="12.75" customHeight="1">
      <c r="B221" s="1"/>
    </row>
    <row r="222" ht="12.75" customHeight="1">
      <c r="B222" s="1"/>
    </row>
    <row r="223" ht="12.75" customHeight="1">
      <c r="B223" s="1"/>
    </row>
    <row r="224" ht="12.75" customHeight="1">
      <c r="B224" s="1"/>
    </row>
    <row r="225" ht="12.75" customHeight="1">
      <c r="B225" s="1"/>
    </row>
    <row r="226" ht="12.75" customHeight="1">
      <c r="B226" s="1"/>
    </row>
    <row r="227" ht="12.75" customHeight="1">
      <c r="B227" s="1"/>
    </row>
    <row r="228" ht="12.75" customHeight="1">
      <c r="B228" s="1"/>
    </row>
    <row r="229" ht="12.75" customHeight="1">
      <c r="B229" s="1"/>
    </row>
    <row r="230" ht="12.75" customHeight="1">
      <c r="B230" s="1"/>
    </row>
    <row r="231" ht="12.75" customHeight="1">
      <c r="B231" s="1"/>
    </row>
    <row r="232" ht="12.75" customHeight="1">
      <c r="B232" s="1"/>
    </row>
    <row r="233" ht="12.75" customHeight="1">
      <c r="B233" s="1"/>
    </row>
    <row r="234" ht="12.75" customHeight="1">
      <c r="B234" s="1"/>
    </row>
    <row r="235" ht="12.75" customHeight="1">
      <c r="B235" s="1"/>
    </row>
    <row r="236" ht="12.75" customHeight="1">
      <c r="B236" s="1"/>
    </row>
    <row r="237" ht="12.75" customHeight="1">
      <c r="B237" s="1"/>
    </row>
    <row r="238" ht="12.75" customHeight="1">
      <c r="B238" s="1"/>
    </row>
    <row r="239" ht="12.75" customHeight="1">
      <c r="B239" s="1"/>
    </row>
    <row r="240" ht="12.75" customHeight="1">
      <c r="B240" s="1"/>
    </row>
    <row r="241" ht="12.75" customHeight="1">
      <c r="B241" s="1"/>
    </row>
    <row r="242" ht="12.75" customHeight="1">
      <c r="B242" s="1"/>
    </row>
    <row r="243" ht="12.75" customHeight="1">
      <c r="B243" s="1"/>
    </row>
    <row r="244" ht="12.75" customHeight="1">
      <c r="B244" s="1"/>
    </row>
    <row r="245" ht="12.75" customHeight="1">
      <c r="B245" s="1"/>
    </row>
    <row r="246" ht="12.75" customHeight="1">
      <c r="B246" s="1"/>
    </row>
    <row r="247" ht="12.75" customHeight="1">
      <c r="B247" s="1"/>
    </row>
    <row r="248" ht="12.75" customHeight="1">
      <c r="B248" s="1"/>
    </row>
    <row r="249" ht="12.75" customHeight="1">
      <c r="B249" s="1"/>
    </row>
    <row r="250" ht="12.75" customHeight="1">
      <c r="B250" s="1"/>
    </row>
    <row r="251" ht="12.75" customHeight="1">
      <c r="B251" s="1"/>
    </row>
    <row r="252" ht="12.75" customHeight="1">
      <c r="B252" s="1"/>
    </row>
    <row r="253" ht="12.75" customHeight="1">
      <c r="B253" s="1"/>
    </row>
    <row r="254" ht="12.75" customHeight="1">
      <c r="B254" s="1"/>
    </row>
    <row r="255" ht="12.75" customHeight="1">
      <c r="B255" s="1"/>
    </row>
    <row r="256" ht="12.75" customHeight="1">
      <c r="B256" s="1"/>
    </row>
    <row r="257" ht="12.75" customHeight="1">
      <c r="B257" s="1"/>
    </row>
    <row r="258" ht="12.75" customHeight="1">
      <c r="B258" s="1"/>
    </row>
    <row r="259" ht="12.75" customHeight="1">
      <c r="B259" s="1"/>
    </row>
    <row r="260" ht="12.75" customHeight="1">
      <c r="B260" s="1"/>
    </row>
    <row r="261" ht="12.75" customHeight="1">
      <c r="B261" s="1"/>
    </row>
    <row r="262" ht="12.75" customHeight="1">
      <c r="B262" s="1"/>
    </row>
    <row r="263" ht="12.75" customHeight="1">
      <c r="B263" s="1"/>
    </row>
    <row r="264" ht="12.75" customHeight="1">
      <c r="B264" s="1"/>
    </row>
    <row r="265" ht="12.75" customHeight="1">
      <c r="B265" s="1"/>
    </row>
    <row r="266" ht="12.75" customHeight="1">
      <c r="B266" s="1"/>
    </row>
    <row r="267" ht="12.75" customHeight="1">
      <c r="B267" s="1"/>
    </row>
    <row r="268" ht="12.75" customHeight="1">
      <c r="B268" s="1"/>
    </row>
    <row r="269" ht="12.75" customHeight="1">
      <c r="B269" s="1"/>
    </row>
    <row r="270" ht="12.75" customHeight="1">
      <c r="B270" s="1"/>
    </row>
    <row r="271" ht="12.75" customHeight="1">
      <c r="B271" s="1"/>
    </row>
    <row r="272" ht="12.75" customHeight="1">
      <c r="B272" s="1"/>
    </row>
    <row r="273" ht="12.75" customHeight="1">
      <c r="B273" s="1"/>
    </row>
    <row r="274" ht="12.75" customHeight="1">
      <c r="B274" s="1"/>
    </row>
    <row r="275" ht="12.75" customHeight="1">
      <c r="B275" s="1"/>
    </row>
    <row r="276" ht="12.75" customHeight="1">
      <c r="B276" s="1"/>
    </row>
    <row r="277" ht="12.75" customHeight="1">
      <c r="B277" s="1"/>
    </row>
    <row r="278" ht="12.75" customHeight="1">
      <c r="B278" s="1"/>
    </row>
    <row r="279" ht="12.75" customHeight="1">
      <c r="B279" s="1"/>
    </row>
    <row r="280" ht="12.75" customHeight="1">
      <c r="B280" s="1"/>
    </row>
    <row r="281" ht="12.75" customHeight="1">
      <c r="B281" s="1"/>
    </row>
    <row r="282" ht="12.75" customHeight="1">
      <c r="B282" s="1"/>
    </row>
    <row r="283" ht="12.75" customHeight="1">
      <c r="B283" s="1"/>
    </row>
    <row r="284" ht="12.75" customHeight="1">
      <c r="B284" s="1"/>
    </row>
    <row r="285" ht="12.75" customHeight="1">
      <c r="B285" s="1"/>
    </row>
    <row r="286" ht="12.75" customHeight="1">
      <c r="B286" s="1"/>
    </row>
    <row r="287" ht="12.75" customHeight="1">
      <c r="B287" s="1"/>
    </row>
    <row r="288" ht="12.75" customHeight="1">
      <c r="B288" s="1"/>
    </row>
    <row r="289" ht="12.75" customHeight="1">
      <c r="B289" s="1"/>
    </row>
    <row r="290" ht="12.75" customHeight="1">
      <c r="B290" s="1"/>
    </row>
    <row r="291" ht="12.75" customHeight="1">
      <c r="B291" s="1"/>
    </row>
    <row r="292" ht="12.75" customHeight="1">
      <c r="B292" s="1"/>
    </row>
    <row r="293" ht="12.75" customHeight="1">
      <c r="B293" s="1"/>
    </row>
    <row r="294" ht="12.75" customHeight="1">
      <c r="B294" s="1"/>
    </row>
    <row r="295" ht="12.75" customHeight="1">
      <c r="B295" s="1"/>
    </row>
    <row r="296" ht="12.75" customHeight="1">
      <c r="B296" s="1"/>
    </row>
    <row r="297" ht="12.75" customHeight="1">
      <c r="B297" s="1"/>
    </row>
    <row r="298" ht="12.75" customHeight="1">
      <c r="B298" s="1"/>
    </row>
    <row r="299" ht="12.75" customHeight="1">
      <c r="B299" s="1"/>
    </row>
    <row r="300" ht="12.75" customHeight="1">
      <c r="B300" s="1"/>
    </row>
    <row r="301" ht="12.75" customHeight="1">
      <c r="B301" s="1"/>
    </row>
    <row r="302" ht="12.75" customHeight="1">
      <c r="B302" s="1"/>
    </row>
    <row r="303" ht="12.75" customHeight="1">
      <c r="B303" s="1"/>
    </row>
    <row r="304" ht="12.75" customHeight="1">
      <c r="B304" s="1"/>
    </row>
    <row r="305" ht="12.75" customHeight="1">
      <c r="B305" s="1"/>
    </row>
    <row r="306" ht="12.75" customHeight="1">
      <c r="B306" s="1"/>
    </row>
    <row r="307" ht="12.75" customHeight="1">
      <c r="B307" s="1"/>
    </row>
    <row r="308" ht="12.75" customHeight="1">
      <c r="B308" s="1"/>
    </row>
    <row r="309" ht="12.75" customHeight="1">
      <c r="B309" s="1"/>
    </row>
    <row r="310" ht="12.75" customHeight="1">
      <c r="B310" s="1"/>
    </row>
    <row r="311" ht="12.75" customHeight="1">
      <c r="B311" s="1"/>
    </row>
    <row r="312" ht="12.75" customHeight="1">
      <c r="B312" s="1"/>
    </row>
    <row r="313" ht="12.75" customHeight="1">
      <c r="B313" s="1"/>
    </row>
    <row r="314" ht="12.75" customHeight="1">
      <c r="B314" s="1"/>
    </row>
    <row r="315" ht="12.75" customHeight="1">
      <c r="B315" s="1"/>
    </row>
    <row r="316" ht="12.75" customHeight="1">
      <c r="B316" s="1"/>
    </row>
    <row r="317" ht="12.75" customHeight="1">
      <c r="B317" s="1"/>
    </row>
    <row r="318" ht="12.75" customHeight="1">
      <c r="B318" s="1"/>
    </row>
    <row r="319" ht="12.75" customHeight="1">
      <c r="B319" s="1"/>
    </row>
    <row r="320" ht="12.75" customHeight="1">
      <c r="B320" s="1"/>
    </row>
    <row r="321" ht="12.75" customHeight="1">
      <c r="B321" s="1"/>
    </row>
    <row r="322" ht="12.75" customHeight="1">
      <c r="B322" s="1"/>
    </row>
    <row r="323" ht="12.75" customHeight="1">
      <c r="B323" s="1"/>
    </row>
    <row r="324" ht="12.75" customHeight="1">
      <c r="B324" s="1"/>
    </row>
    <row r="325" ht="12.75" customHeight="1">
      <c r="B325" s="1"/>
    </row>
    <row r="326" ht="12.75" customHeight="1">
      <c r="B326" s="1"/>
    </row>
    <row r="327" ht="12.75" customHeight="1">
      <c r="B327" s="1"/>
    </row>
    <row r="328" ht="12.75" customHeight="1">
      <c r="B328" s="1"/>
    </row>
    <row r="329" ht="12.75" customHeight="1">
      <c r="B329" s="1"/>
    </row>
    <row r="330" ht="12.75" customHeight="1">
      <c r="B330" s="1"/>
    </row>
    <row r="331" ht="12.75" customHeight="1">
      <c r="B331" s="1"/>
    </row>
    <row r="332" ht="12.75" customHeight="1">
      <c r="B332" s="1"/>
    </row>
    <row r="333" ht="12.75" customHeight="1">
      <c r="B333" s="1"/>
    </row>
    <row r="334" ht="12.75" customHeight="1">
      <c r="B334" s="1"/>
    </row>
    <row r="335" ht="12.75" customHeight="1">
      <c r="B335" s="1"/>
    </row>
    <row r="336" ht="12.75" customHeight="1">
      <c r="B336" s="1"/>
    </row>
    <row r="337" ht="12.75" customHeight="1">
      <c r="B337" s="1"/>
    </row>
    <row r="338" ht="12.75" customHeight="1">
      <c r="B338" s="1"/>
    </row>
    <row r="339" ht="12.75" customHeight="1">
      <c r="B339" s="1"/>
    </row>
    <row r="340" ht="12.75" customHeight="1">
      <c r="B340" s="1"/>
    </row>
    <row r="341" ht="12.75" customHeight="1">
      <c r="B341" s="1"/>
    </row>
    <row r="342" ht="12.75" customHeight="1">
      <c r="B342" s="1"/>
    </row>
    <row r="343" ht="12.75" customHeight="1">
      <c r="B343" s="1"/>
    </row>
    <row r="344" ht="12.75" customHeight="1">
      <c r="B344" s="1"/>
    </row>
    <row r="345" ht="12.75" customHeight="1">
      <c r="B345" s="1"/>
    </row>
    <row r="346" ht="12.75" customHeight="1">
      <c r="B346" s="1"/>
    </row>
    <row r="347" ht="12.75" customHeight="1">
      <c r="B347" s="1"/>
    </row>
    <row r="348" ht="12.75" customHeight="1">
      <c r="B348" s="1"/>
    </row>
    <row r="349" ht="12.75" customHeight="1">
      <c r="B349" s="1"/>
    </row>
    <row r="350" ht="12.75" customHeight="1">
      <c r="B350" s="1"/>
    </row>
    <row r="351" ht="12.75" customHeight="1">
      <c r="B351" s="1"/>
    </row>
    <row r="352" ht="12.75" customHeight="1">
      <c r="B352" s="1"/>
    </row>
    <row r="353" ht="12.75" customHeight="1">
      <c r="B353" s="1"/>
    </row>
    <row r="354" ht="12.75" customHeight="1">
      <c r="B354" s="1"/>
    </row>
    <row r="355" ht="12.75" customHeight="1">
      <c r="B355" s="1"/>
    </row>
    <row r="356" ht="12.75" customHeight="1">
      <c r="B356" s="1"/>
    </row>
    <row r="357" ht="12.75" customHeight="1">
      <c r="B357" s="1"/>
    </row>
    <row r="358" ht="12.75" customHeight="1">
      <c r="B358" s="1"/>
    </row>
    <row r="359" ht="12.75" customHeight="1">
      <c r="B359" s="1"/>
    </row>
    <row r="360" ht="12.75" customHeight="1">
      <c r="B360" s="1"/>
    </row>
    <row r="361" ht="12.75" customHeight="1">
      <c r="B361" s="1"/>
    </row>
    <row r="362" ht="12.75" customHeight="1">
      <c r="B362" s="1"/>
    </row>
    <row r="363" ht="12.75" customHeight="1">
      <c r="B363" s="1"/>
    </row>
    <row r="364" ht="12.75" customHeight="1">
      <c r="B364" s="1"/>
    </row>
    <row r="365" ht="12.75" customHeight="1">
      <c r="B365" s="1"/>
    </row>
    <row r="366" ht="12.75" customHeight="1">
      <c r="B366" s="1"/>
    </row>
    <row r="367" ht="12.75" customHeight="1">
      <c r="B367" s="1"/>
    </row>
    <row r="368" ht="12.75" customHeight="1">
      <c r="B368" s="1"/>
    </row>
    <row r="369" ht="12.75" customHeight="1">
      <c r="B369" s="1"/>
    </row>
    <row r="370" ht="12.75" customHeight="1">
      <c r="B370" s="1"/>
    </row>
    <row r="371" ht="12.75" customHeight="1">
      <c r="B371" s="1"/>
    </row>
    <row r="372" ht="12.75" customHeight="1">
      <c r="B372" s="1"/>
    </row>
    <row r="373" ht="12.75" customHeight="1">
      <c r="B373" s="1"/>
    </row>
    <row r="374" ht="12.75" customHeight="1">
      <c r="B374" s="1"/>
    </row>
    <row r="375" ht="12.75" customHeight="1">
      <c r="B375" s="1"/>
    </row>
    <row r="376" ht="12.75" customHeight="1">
      <c r="B376" s="1"/>
    </row>
    <row r="377" ht="12.75" customHeight="1">
      <c r="B377" s="1"/>
    </row>
    <row r="378" ht="12.75" customHeight="1">
      <c r="B378" s="1"/>
    </row>
    <row r="379" ht="12.75" customHeight="1">
      <c r="B379" s="1"/>
    </row>
    <row r="380" ht="12.75" customHeight="1">
      <c r="B380" s="1"/>
    </row>
    <row r="381" ht="12.75" customHeight="1">
      <c r="B381" s="1"/>
    </row>
    <row r="382" ht="12.75" customHeight="1">
      <c r="B382" s="1"/>
    </row>
    <row r="383" ht="12.75" customHeight="1">
      <c r="B383" s="1"/>
    </row>
    <row r="384" ht="12.75" customHeight="1">
      <c r="B384" s="1"/>
    </row>
    <row r="385" ht="12.75" customHeight="1">
      <c r="B385" s="1"/>
    </row>
    <row r="386" ht="12.75" customHeight="1">
      <c r="B386" s="1"/>
    </row>
    <row r="387" ht="12.75" customHeight="1">
      <c r="B387" s="1"/>
    </row>
    <row r="388" ht="12.75" customHeight="1">
      <c r="B388" s="1"/>
    </row>
    <row r="389" ht="12.75" customHeight="1">
      <c r="B389" s="1"/>
    </row>
    <row r="390" ht="12.75" customHeight="1">
      <c r="B390" s="1"/>
    </row>
    <row r="391" ht="12.75" customHeight="1">
      <c r="B391" s="1"/>
    </row>
    <row r="392" ht="12.75" customHeight="1">
      <c r="B392" s="1"/>
    </row>
    <row r="393" ht="12.75" customHeight="1">
      <c r="B393" s="1"/>
    </row>
    <row r="394" ht="12.75" customHeight="1">
      <c r="B394" s="1"/>
    </row>
    <row r="395" ht="12.75" customHeight="1">
      <c r="B395" s="1"/>
    </row>
    <row r="396" ht="12.75" customHeight="1">
      <c r="B396" s="1"/>
    </row>
    <row r="397" ht="12.75" customHeight="1">
      <c r="B397" s="1"/>
    </row>
    <row r="398" ht="12.75" customHeight="1">
      <c r="B398" s="1"/>
    </row>
    <row r="399" ht="12.75" customHeight="1">
      <c r="B399" s="1"/>
    </row>
    <row r="400" ht="12.75" customHeight="1">
      <c r="B400" s="1"/>
    </row>
    <row r="401" ht="12.75" customHeight="1">
      <c r="B401" s="1"/>
    </row>
    <row r="402" ht="12.75" customHeight="1">
      <c r="B402" s="1"/>
    </row>
    <row r="403" ht="12.75" customHeight="1">
      <c r="B403" s="1"/>
    </row>
    <row r="404" ht="12.75" customHeight="1">
      <c r="B404" s="1"/>
    </row>
    <row r="405" ht="12.75" customHeight="1">
      <c r="B405" s="1"/>
    </row>
    <row r="406" ht="12.75" customHeight="1">
      <c r="B406" s="1"/>
    </row>
    <row r="407" ht="12.75" customHeight="1">
      <c r="B407" s="1"/>
    </row>
    <row r="408" ht="12.75" customHeight="1">
      <c r="B408" s="1"/>
    </row>
    <row r="409" ht="12.75" customHeight="1">
      <c r="B409" s="1"/>
    </row>
    <row r="410" ht="12.75" customHeight="1">
      <c r="B410" s="1"/>
    </row>
    <row r="411" ht="12.75" customHeight="1">
      <c r="B411" s="1"/>
    </row>
    <row r="412" ht="12.75" customHeight="1">
      <c r="B412" s="1"/>
    </row>
    <row r="413" ht="12.75" customHeight="1">
      <c r="B413" s="1"/>
    </row>
    <row r="414" ht="12.75" customHeight="1">
      <c r="B414" s="1"/>
    </row>
    <row r="415" ht="12.75" customHeight="1">
      <c r="B415" s="1"/>
    </row>
    <row r="416" ht="12.75" customHeight="1">
      <c r="B416" s="1"/>
    </row>
    <row r="417" ht="12.75" customHeight="1">
      <c r="B417" s="1"/>
    </row>
    <row r="418" ht="12.75" customHeight="1">
      <c r="B418" s="1"/>
    </row>
    <row r="419" ht="12.75" customHeight="1">
      <c r="B419" s="1"/>
    </row>
    <row r="420" ht="12.75" customHeight="1">
      <c r="B420" s="1"/>
    </row>
    <row r="421" ht="12.75" customHeight="1">
      <c r="B421" s="1"/>
    </row>
    <row r="422" ht="12.75" customHeight="1">
      <c r="B422" s="1"/>
    </row>
    <row r="423" ht="12.75" customHeight="1">
      <c r="B423" s="1"/>
    </row>
    <row r="424" ht="12.75" customHeight="1">
      <c r="B424" s="1"/>
    </row>
    <row r="425" ht="12.75" customHeight="1">
      <c r="B425" s="1"/>
    </row>
    <row r="426" ht="12.75" customHeight="1">
      <c r="B426" s="1"/>
    </row>
    <row r="427" ht="12.75" customHeight="1">
      <c r="B427" s="1"/>
    </row>
    <row r="428" ht="12.75" customHeight="1">
      <c r="B428" s="1"/>
    </row>
    <row r="429" ht="12.75" customHeight="1">
      <c r="B429" s="1"/>
    </row>
    <row r="430" ht="12.75" customHeight="1">
      <c r="B430" s="1"/>
    </row>
    <row r="431" ht="12.75" customHeight="1">
      <c r="B431" s="1"/>
    </row>
    <row r="432" ht="12.75" customHeight="1">
      <c r="B432" s="1"/>
    </row>
    <row r="433" ht="12.75" customHeight="1">
      <c r="B433" s="1"/>
    </row>
    <row r="434" ht="12.75" customHeight="1">
      <c r="B434" s="1"/>
    </row>
    <row r="435" ht="12.75" customHeight="1">
      <c r="B435" s="1"/>
    </row>
    <row r="436" ht="12.75" customHeight="1">
      <c r="B436" s="1"/>
    </row>
    <row r="437" ht="12.75" customHeight="1">
      <c r="B437" s="1"/>
    </row>
    <row r="438" ht="12.75" customHeight="1">
      <c r="B438" s="1"/>
    </row>
    <row r="439" ht="12.75" customHeight="1">
      <c r="B439" s="1"/>
    </row>
    <row r="440" ht="12.75" customHeight="1">
      <c r="B440" s="1"/>
    </row>
    <row r="441" ht="12.75" customHeight="1">
      <c r="B441" s="1"/>
    </row>
    <row r="442" ht="12.75" customHeight="1">
      <c r="B442" s="1"/>
    </row>
    <row r="443" ht="12.75" customHeight="1">
      <c r="B443" s="1"/>
    </row>
    <row r="444" ht="12.75" customHeight="1">
      <c r="B444" s="1"/>
    </row>
    <row r="445" ht="12.75" customHeight="1">
      <c r="B445" s="1"/>
    </row>
    <row r="446" ht="12.75" customHeight="1">
      <c r="B446" s="1"/>
    </row>
    <row r="447" ht="12.75" customHeight="1">
      <c r="B447" s="1"/>
    </row>
    <row r="448" ht="12.75" customHeight="1">
      <c r="B448" s="1"/>
    </row>
    <row r="449" ht="12.75" customHeight="1">
      <c r="B449" s="1"/>
    </row>
    <row r="450" ht="12.75" customHeight="1">
      <c r="B450" s="1"/>
    </row>
    <row r="451" ht="12.75" customHeight="1">
      <c r="B451" s="1"/>
    </row>
    <row r="452" ht="12.75" customHeight="1">
      <c r="B452" s="1"/>
    </row>
    <row r="453" ht="12.75" customHeight="1">
      <c r="B453" s="1"/>
    </row>
    <row r="454" ht="12.75" customHeight="1">
      <c r="B454" s="1"/>
    </row>
    <row r="455" ht="12.75" customHeight="1">
      <c r="B455" s="1"/>
    </row>
    <row r="456" ht="12.75" customHeight="1">
      <c r="B456" s="1"/>
    </row>
    <row r="457" ht="12.75" customHeight="1">
      <c r="B457" s="1"/>
    </row>
    <row r="458" ht="12.75" customHeight="1">
      <c r="B458" s="1"/>
    </row>
    <row r="459" ht="12.75" customHeight="1">
      <c r="B459" s="1"/>
    </row>
    <row r="460" ht="12.75" customHeight="1">
      <c r="B460" s="1"/>
    </row>
    <row r="461" ht="12.75" customHeight="1">
      <c r="B461" s="1"/>
    </row>
    <row r="462" ht="12.75" customHeight="1">
      <c r="B462" s="1"/>
    </row>
    <row r="463" ht="12.75" customHeight="1">
      <c r="B463" s="1"/>
    </row>
    <row r="464" ht="12.75" customHeight="1">
      <c r="B464" s="1"/>
    </row>
    <row r="465" ht="12.75" customHeight="1">
      <c r="B465" s="1"/>
    </row>
    <row r="466" ht="12.75" customHeight="1">
      <c r="B466" s="1"/>
    </row>
    <row r="467" ht="12.75" customHeight="1">
      <c r="B467" s="1"/>
    </row>
    <row r="468" ht="12.75" customHeight="1">
      <c r="B468" s="1"/>
    </row>
    <row r="469" ht="12.75" customHeight="1">
      <c r="B469" s="1"/>
    </row>
    <row r="470" ht="12.75" customHeight="1">
      <c r="B470" s="1"/>
    </row>
    <row r="471" ht="12.75" customHeight="1">
      <c r="B471" s="1"/>
    </row>
    <row r="472" ht="12.75" customHeight="1">
      <c r="B472" s="1"/>
    </row>
    <row r="473" ht="12.75" customHeight="1">
      <c r="B473" s="1"/>
    </row>
    <row r="474" ht="12.75" customHeight="1">
      <c r="B474" s="1"/>
    </row>
    <row r="475" ht="12.75" customHeight="1">
      <c r="B475" s="1"/>
    </row>
    <row r="476" ht="12.75" customHeight="1">
      <c r="B476" s="1"/>
    </row>
    <row r="477" ht="12.75" customHeight="1">
      <c r="B477" s="1"/>
    </row>
    <row r="478" ht="12.75" customHeight="1">
      <c r="B478" s="1"/>
    </row>
    <row r="479" ht="12.75" customHeight="1">
      <c r="B479" s="1"/>
    </row>
    <row r="480" ht="12.75" customHeight="1">
      <c r="B480" s="1"/>
    </row>
    <row r="481" ht="12.75" customHeight="1">
      <c r="B481" s="1"/>
    </row>
    <row r="482" ht="12.75" customHeight="1">
      <c r="B482" s="1"/>
    </row>
    <row r="483" ht="12.75" customHeight="1">
      <c r="B483" s="1"/>
    </row>
    <row r="484" ht="12.75" customHeight="1">
      <c r="B484" s="1"/>
    </row>
    <row r="485" ht="12.75" customHeight="1">
      <c r="B485" s="1"/>
    </row>
    <row r="486" ht="12.75" customHeight="1">
      <c r="B486" s="1"/>
    </row>
    <row r="487" ht="12.75" customHeight="1">
      <c r="B487" s="1"/>
    </row>
    <row r="488" ht="12.75" customHeight="1">
      <c r="B488" s="1"/>
    </row>
    <row r="489" ht="12.75" customHeight="1">
      <c r="B489" s="1"/>
    </row>
    <row r="490" ht="12.75" customHeight="1">
      <c r="B490" s="1"/>
    </row>
    <row r="491" ht="12.75" customHeight="1">
      <c r="B491" s="1"/>
    </row>
    <row r="492" ht="12.75" customHeight="1">
      <c r="B492" s="1"/>
    </row>
    <row r="493" ht="12.75" customHeight="1">
      <c r="B493" s="1"/>
    </row>
    <row r="494" ht="12.75" customHeight="1">
      <c r="B494" s="1"/>
    </row>
    <row r="495" ht="12.75" customHeight="1">
      <c r="B495" s="1"/>
    </row>
    <row r="496" ht="12.75" customHeight="1">
      <c r="B496" s="1"/>
    </row>
    <row r="497" ht="12.75" customHeight="1">
      <c r="B497" s="1"/>
    </row>
    <row r="498" ht="12.75" customHeight="1">
      <c r="B498" s="1"/>
    </row>
    <row r="499" ht="12.75" customHeight="1">
      <c r="B499" s="1"/>
    </row>
    <row r="500" ht="12.75" customHeight="1">
      <c r="B500" s="1"/>
    </row>
    <row r="501" ht="12.75" customHeight="1">
      <c r="B501" s="1"/>
    </row>
    <row r="502" ht="12.75" customHeight="1">
      <c r="B502" s="1"/>
    </row>
    <row r="503" ht="12.75" customHeight="1">
      <c r="B503" s="1"/>
    </row>
    <row r="504" ht="12.75" customHeight="1">
      <c r="B504" s="1"/>
    </row>
    <row r="505" ht="12.75" customHeight="1">
      <c r="B505" s="1"/>
    </row>
    <row r="506" ht="12.75" customHeight="1">
      <c r="B506" s="1"/>
    </row>
    <row r="507" ht="12.75" customHeight="1">
      <c r="B507" s="1"/>
    </row>
    <row r="508" ht="12.75" customHeight="1">
      <c r="B508" s="1"/>
    </row>
    <row r="509" ht="12.75" customHeight="1">
      <c r="B509" s="1"/>
    </row>
    <row r="510" ht="12.75" customHeight="1">
      <c r="B510" s="1"/>
    </row>
    <row r="511" ht="12.75" customHeight="1">
      <c r="B511" s="1"/>
    </row>
    <row r="512" ht="12.75" customHeight="1">
      <c r="B512" s="1"/>
    </row>
    <row r="513" ht="12.75" customHeight="1">
      <c r="B513" s="1"/>
    </row>
    <row r="514" ht="12.75" customHeight="1">
      <c r="B514" s="1"/>
    </row>
    <row r="515" ht="12.75" customHeight="1">
      <c r="B515" s="1"/>
    </row>
    <row r="516" ht="12.75" customHeight="1">
      <c r="B516" s="1"/>
    </row>
    <row r="517" ht="12.75" customHeight="1">
      <c r="B517" s="1"/>
    </row>
    <row r="518" ht="12.75" customHeight="1">
      <c r="B518" s="1"/>
    </row>
    <row r="519" ht="12.75" customHeight="1">
      <c r="B519" s="1"/>
    </row>
    <row r="520" ht="12.75" customHeight="1">
      <c r="B520" s="1"/>
    </row>
    <row r="521" ht="12.75" customHeight="1">
      <c r="B521" s="1"/>
    </row>
    <row r="522" ht="12.75" customHeight="1">
      <c r="B522" s="1"/>
    </row>
    <row r="523" ht="12.75" customHeight="1">
      <c r="B523" s="1"/>
    </row>
    <row r="524" ht="12.75" customHeight="1">
      <c r="B524" s="1"/>
    </row>
    <row r="525" ht="12.75" customHeight="1">
      <c r="B525" s="1"/>
    </row>
    <row r="526" ht="12.75" customHeight="1">
      <c r="B526" s="1"/>
    </row>
    <row r="527" ht="12.75" customHeight="1">
      <c r="B527" s="1"/>
    </row>
    <row r="528" ht="12.75" customHeight="1">
      <c r="B528" s="1"/>
    </row>
    <row r="529" ht="12.75" customHeight="1">
      <c r="B529" s="1"/>
    </row>
    <row r="530" ht="12.75" customHeight="1">
      <c r="B530" s="1"/>
    </row>
    <row r="531" ht="12.75" customHeight="1">
      <c r="B531" s="1"/>
    </row>
    <row r="532" ht="12.75" customHeight="1">
      <c r="B532" s="1"/>
    </row>
    <row r="533" ht="12.75" customHeight="1">
      <c r="B533" s="1"/>
    </row>
    <row r="534" ht="12.75" customHeight="1">
      <c r="B534" s="1"/>
    </row>
    <row r="535" ht="12.75" customHeight="1">
      <c r="B535" s="1"/>
    </row>
    <row r="536" ht="12.75" customHeight="1">
      <c r="B536" s="1"/>
    </row>
    <row r="537" ht="12.75" customHeight="1">
      <c r="B537" s="1"/>
    </row>
    <row r="538" ht="12.75" customHeight="1">
      <c r="B538" s="1"/>
    </row>
    <row r="539" ht="12.75" customHeight="1">
      <c r="B539" s="1"/>
    </row>
    <row r="540" ht="12.75" customHeight="1">
      <c r="B540" s="1"/>
    </row>
    <row r="541" ht="12.75" customHeight="1">
      <c r="B541" s="1"/>
    </row>
    <row r="542" ht="12.75" customHeight="1">
      <c r="B542" s="1"/>
    </row>
    <row r="543" ht="12.75" customHeight="1">
      <c r="B543" s="1"/>
    </row>
    <row r="544" ht="12.75" customHeight="1">
      <c r="B544" s="1"/>
    </row>
    <row r="545" ht="12.75" customHeight="1">
      <c r="B545" s="1"/>
    </row>
    <row r="546" ht="12.75" customHeight="1">
      <c r="B546" s="1"/>
    </row>
    <row r="547" ht="12.75" customHeight="1">
      <c r="B547" s="1"/>
    </row>
    <row r="548" ht="12.75" customHeight="1">
      <c r="B548" s="1"/>
    </row>
    <row r="549" ht="12.75" customHeight="1">
      <c r="B549" s="1"/>
    </row>
    <row r="550" ht="12.75" customHeight="1">
      <c r="B550" s="1"/>
    </row>
    <row r="551" ht="12.75" customHeight="1">
      <c r="B551" s="1"/>
    </row>
    <row r="552" ht="12.75" customHeight="1">
      <c r="B552" s="1"/>
    </row>
    <row r="553" ht="12.75" customHeight="1">
      <c r="B553" s="1"/>
    </row>
    <row r="554" ht="12.75" customHeight="1">
      <c r="B554" s="1"/>
    </row>
    <row r="555" ht="12.75" customHeight="1">
      <c r="B555" s="1"/>
    </row>
    <row r="556" ht="12.75" customHeight="1">
      <c r="B556" s="1"/>
    </row>
    <row r="557" ht="12.75" customHeight="1">
      <c r="B557" s="1"/>
    </row>
    <row r="558" ht="12.75" customHeight="1">
      <c r="B558" s="1"/>
    </row>
    <row r="559" ht="12.75" customHeight="1">
      <c r="B559" s="1"/>
    </row>
    <row r="560" ht="12.75" customHeight="1">
      <c r="B560" s="1"/>
    </row>
    <row r="561" ht="12.75" customHeight="1">
      <c r="B561" s="1"/>
    </row>
    <row r="562" ht="12.75" customHeight="1">
      <c r="B562" s="1"/>
    </row>
    <row r="563" ht="12.75" customHeight="1">
      <c r="B563" s="1"/>
    </row>
    <row r="564" ht="12.75" customHeight="1">
      <c r="B564" s="1"/>
    </row>
    <row r="565" ht="12.75" customHeight="1">
      <c r="B565" s="1"/>
    </row>
    <row r="566" ht="12.75" customHeight="1">
      <c r="B566" s="1"/>
    </row>
    <row r="567" ht="12.75" customHeight="1">
      <c r="B567" s="1"/>
    </row>
    <row r="568" ht="12.75" customHeight="1">
      <c r="B568" s="1"/>
    </row>
    <row r="569" ht="12.75" customHeight="1">
      <c r="B569" s="1"/>
    </row>
    <row r="570" ht="12.75" customHeight="1">
      <c r="B570" s="1"/>
    </row>
    <row r="571" ht="12.75" customHeight="1">
      <c r="B571" s="1"/>
    </row>
    <row r="572" ht="12.75" customHeight="1">
      <c r="B572" s="1"/>
    </row>
    <row r="573" ht="12.75" customHeight="1">
      <c r="B573" s="1"/>
    </row>
    <row r="574" ht="12.75" customHeight="1">
      <c r="B574" s="1"/>
    </row>
    <row r="575" ht="12.75" customHeight="1">
      <c r="B575" s="1"/>
    </row>
    <row r="576" ht="12.75" customHeight="1">
      <c r="B576" s="1"/>
    </row>
    <row r="577" ht="12.75" customHeight="1">
      <c r="B577" s="1"/>
    </row>
    <row r="578" ht="12.75" customHeight="1">
      <c r="B578" s="1"/>
    </row>
    <row r="579" ht="12.75" customHeight="1">
      <c r="B579" s="1"/>
    </row>
    <row r="580" ht="12.75" customHeight="1">
      <c r="B580" s="1"/>
    </row>
    <row r="581" ht="12.75" customHeight="1">
      <c r="B581" s="1"/>
    </row>
    <row r="582" ht="12.75" customHeight="1">
      <c r="B582" s="1"/>
    </row>
    <row r="583" ht="12.75" customHeight="1">
      <c r="B583" s="1"/>
    </row>
    <row r="584" ht="12.75" customHeight="1">
      <c r="B584" s="1"/>
    </row>
    <row r="585" ht="12.75" customHeight="1">
      <c r="B585" s="1"/>
    </row>
    <row r="586" ht="12.75" customHeight="1">
      <c r="B586" s="1"/>
    </row>
    <row r="587" ht="12.75" customHeight="1">
      <c r="B587" s="1"/>
    </row>
    <row r="588" ht="12.75" customHeight="1">
      <c r="B588" s="1"/>
    </row>
    <row r="589" ht="12.75" customHeight="1">
      <c r="B589" s="1"/>
    </row>
    <row r="590" ht="12.75" customHeight="1">
      <c r="B590" s="1"/>
    </row>
    <row r="591" ht="12.75" customHeight="1">
      <c r="B591" s="1"/>
    </row>
    <row r="592" ht="12.75" customHeight="1">
      <c r="B592" s="1"/>
    </row>
    <row r="593" ht="12.75" customHeight="1">
      <c r="B593" s="1"/>
    </row>
    <row r="594" ht="12.75" customHeight="1">
      <c r="B594" s="1"/>
    </row>
    <row r="595" ht="12.75" customHeight="1">
      <c r="B595" s="1"/>
    </row>
    <row r="596" ht="12.75" customHeight="1">
      <c r="B596" s="1"/>
    </row>
    <row r="597" ht="12.75" customHeight="1">
      <c r="B597" s="1"/>
    </row>
    <row r="598" ht="12.75" customHeight="1">
      <c r="B598" s="1"/>
    </row>
    <row r="599" ht="12.75" customHeight="1">
      <c r="B599" s="1"/>
    </row>
    <row r="600" ht="12.75" customHeight="1">
      <c r="B600" s="1"/>
    </row>
    <row r="601" ht="12.75" customHeight="1">
      <c r="B601" s="1"/>
    </row>
    <row r="602" ht="12.75" customHeight="1">
      <c r="B602" s="1"/>
    </row>
    <row r="603" ht="12.75" customHeight="1">
      <c r="B603" s="1"/>
    </row>
    <row r="604" ht="12.75" customHeight="1">
      <c r="B604" s="1"/>
    </row>
    <row r="605" ht="12.75" customHeight="1">
      <c r="B605" s="1"/>
    </row>
    <row r="606" ht="12.75" customHeight="1">
      <c r="B606" s="1"/>
    </row>
    <row r="607" ht="12.75" customHeight="1">
      <c r="B607" s="1"/>
    </row>
    <row r="608" ht="12.75" customHeight="1">
      <c r="B608" s="1"/>
    </row>
    <row r="609" ht="12.75" customHeight="1">
      <c r="B609" s="1"/>
    </row>
    <row r="610" ht="12.75" customHeight="1">
      <c r="B610" s="1"/>
    </row>
    <row r="611" ht="12.75" customHeight="1">
      <c r="B611" s="1"/>
    </row>
    <row r="612" ht="12.75" customHeight="1">
      <c r="B612" s="1"/>
    </row>
    <row r="613" ht="12.75" customHeight="1">
      <c r="B613" s="1"/>
    </row>
    <row r="614" ht="12.75" customHeight="1">
      <c r="B614" s="1"/>
    </row>
    <row r="615" ht="12.75" customHeight="1">
      <c r="B615" s="1"/>
    </row>
    <row r="616" ht="12.75" customHeight="1">
      <c r="B616" s="1"/>
    </row>
    <row r="617" ht="12.75" customHeight="1">
      <c r="B617" s="1"/>
    </row>
    <row r="618" ht="12.75" customHeight="1">
      <c r="B618" s="1"/>
    </row>
    <row r="619" ht="12.75" customHeight="1">
      <c r="B619" s="1"/>
    </row>
    <row r="620" ht="12.75" customHeight="1">
      <c r="B620" s="1"/>
    </row>
    <row r="621" ht="12.75" customHeight="1">
      <c r="B621" s="1"/>
    </row>
    <row r="622" ht="12.75" customHeight="1">
      <c r="B622" s="1"/>
    </row>
    <row r="623" ht="12.75" customHeight="1">
      <c r="B623" s="1"/>
    </row>
    <row r="624" ht="12.75" customHeight="1">
      <c r="B624" s="1"/>
    </row>
    <row r="625" ht="12.75" customHeight="1">
      <c r="B625" s="1"/>
    </row>
    <row r="626" ht="12.75" customHeight="1">
      <c r="B626" s="1"/>
    </row>
    <row r="627" ht="12.75" customHeight="1">
      <c r="B627" s="1"/>
    </row>
    <row r="628" ht="12.75" customHeight="1">
      <c r="B628" s="1"/>
    </row>
    <row r="629" ht="12.75" customHeight="1">
      <c r="B629" s="1"/>
    </row>
    <row r="630" ht="12.75" customHeight="1">
      <c r="B630" s="1"/>
    </row>
    <row r="631" ht="12.75" customHeight="1">
      <c r="B631" s="1"/>
    </row>
    <row r="632" ht="12.75" customHeight="1">
      <c r="B632" s="1"/>
    </row>
    <row r="633" ht="12.75" customHeight="1">
      <c r="B633" s="1"/>
    </row>
    <row r="634" ht="12.75" customHeight="1">
      <c r="B634" s="1"/>
    </row>
    <row r="635" ht="12.75" customHeight="1">
      <c r="B635" s="1"/>
    </row>
    <row r="636" ht="12.75" customHeight="1">
      <c r="B636" s="1"/>
    </row>
    <row r="637" ht="12.75" customHeight="1">
      <c r="B637" s="1"/>
    </row>
    <row r="638" ht="12.75" customHeight="1">
      <c r="B638" s="1"/>
    </row>
    <row r="639" ht="12.75" customHeight="1">
      <c r="B639" s="1"/>
    </row>
    <row r="640" ht="12.75" customHeight="1">
      <c r="B640" s="1"/>
    </row>
    <row r="641" ht="12.75" customHeight="1">
      <c r="B641" s="1"/>
    </row>
    <row r="642" ht="12.75" customHeight="1">
      <c r="B642" s="1"/>
    </row>
    <row r="643" ht="12.75" customHeight="1">
      <c r="B643" s="1"/>
    </row>
    <row r="644" ht="12.75" customHeight="1">
      <c r="B644" s="1"/>
    </row>
    <row r="645" ht="12.75" customHeight="1">
      <c r="B645" s="1"/>
    </row>
    <row r="646" ht="12.75" customHeight="1">
      <c r="B646" s="1"/>
    </row>
    <row r="647" ht="12.75" customHeight="1">
      <c r="B647" s="1"/>
    </row>
    <row r="648" ht="12.75" customHeight="1">
      <c r="B648" s="1"/>
    </row>
    <row r="649" ht="12.75" customHeight="1">
      <c r="B649" s="1"/>
    </row>
    <row r="650" ht="12.75" customHeight="1">
      <c r="B650" s="1"/>
    </row>
    <row r="651" ht="12.75" customHeight="1">
      <c r="B651" s="1"/>
    </row>
    <row r="652" ht="12.75" customHeight="1">
      <c r="B652" s="1"/>
    </row>
    <row r="653" ht="12.75" customHeight="1">
      <c r="B653" s="1"/>
    </row>
    <row r="654" ht="12.75" customHeight="1">
      <c r="B654" s="1"/>
    </row>
    <row r="655" ht="12.75" customHeight="1">
      <c r="B655" s="1"/>
    </row>
    <row r="656" ht="12.75" customHeight="1">
      <c r="B656" s="1"/>
    </row>
    <row r="657" ht="12.75" customHeight="1">
      <c r="B657" s="1"/>
    </row>
    <row r="658" ht="12.75" customHeight="1">
      <c r="B658" s="1"/>
    </row>
    <row r="659" ht="12.75" customHeight="1">
      <c r="B659" s="1"/>
    </row>
    <row r="660" ht="12.75" customHeight="1">
      <c r="B660" s="1"/>
    </row>
    <row r="661" ht="12.75" customHeight="1">
      <c r="B661" s="1"/>
    </row>
    <row r="662" ht="12.75" customHeight="1">
      <c r="B662" s="1"/>
    </row>
    <row r="663" ht="12.75" customHeight="1">
      <c r="B663" s="1"/>
    </row>
    <row r="664" ht="12.75" customHeight="1">
      <c r="B664" s="1"/>
    </row>
    <row r="665" ht="12.75" customHeight="1">
      <c r="B665" s="1"/>
    </row>
    <row r="666" ht="12.75" customHeight="1">
      <c r="B666" s="1"/>
    </row>
    <row r="667" ht="12.75" customHeight="1">
      <c r="B667" s="1"/>
    </row>
    <row r="668" ht="12.75" customHeight="1">
      <c r="B668" s="1"/>
    </row>
    <row r="669" ht="12.75" customHeight="1">
      <c r="B669" s="1"/>
    </row>
    <row r="670" ht="12.75" customHeight="1">
      <c r="B670" s="1"/>
    </row>
    <row r="671" ht="12.75" customHeight="1">
      <c r="B671" s="1"/>
    </row>
    <row r="672" ht="12.75" customHeight="1">
      <c r="B672" s="1"/>
    </row>
    <row r="673" ht="12.75" customHeight="1">
      <c r="B673" s="1"/>
    </row>
    <row r="674" ht="12.75" customHeight="1">
      <c r="B674" s="1"/>
    </row>
    <row r="675" ht="12.75" customHeight="1">
      <c r="B675" s="1"/>
    </row>
    <row r="676" ht="12.75" customHeight="1">
      <c r="B676" s="1"/>
    </row>
    <row r="677" ht="12.75" customHeight="1">
      <c r="B677" s="1"/>
    </row>
    <row r="678" ht="12.75" customHeight="1">
      <c r="B678" s="1"/>
    </row>
    <row r="679" ht="12.75" customHeight="1">
      <c r="B679" s="1"/>
    </row>
    <row r="680" ht="12.75" customHeight="1">
      <c r="B680" s="1"/>
    </row>
    <row r="681" ht="12.75" customHeight="1">
      <c r="B681" s="1"/>
    </row>
    <row r="682" ht="12.75" customHeight="1">
      <c r="B682" s="1"/>
    </row>
    <row r="683" ht="12.75" customHeight="1">
      <c r="B683" s="1"/>
    </row>
    <row r="684" ht="12.75" customHeight="1">
      <c r="B684" s="1"/>
    </row>
    <row r="685" ht="12.75" customHeight="1">
      <c r="B685" s="1"/>
    </row>
    <row r="686" ht="12.75" customHeight="1">
      <c r="B686" s="1"/>
    </row>
    <row r="687" ht="12.75" customHeight="1">
      <c r="B687" s="1"/>
    </row>
    <row r="688" ht="12.75" customHeight="1">
      <c r="B688" s="1"/>
    </row>
    <row r="689" ht="12.75" customHeight="1">
      <c r="B689" s="1"/>
    </row>
    <row r="690" ht="12.75" customHeight="1">
      <c r="B690" s="1"/>
    </row>
    <row r="691" ht="12.75" customHeight="1">
      <c r="B691" s="1"/>
    </row>
    <row r="692" ht="12.75" customHeight="1">
      <c r="B692" s="1"/>
    </row>
    <row r="693" ht="12.75" customHeight="1">
      <c r="B693" s="1"/>
    </row>
    <row r="694" ht="12.75" customHeight="1">
      <c r="B694" s="1"/>
    </row>
    <row r="695" ht="12.75" customHeight="1">
      <c r="B695" s="1"/>
    </row>
    <row r="696" ht="12.75" customHeight="1">
      <c r="B696" s="1"/>
    </row>
    <row r="697" ht="12.75" customHeight="1">
      <c r="B697" s="1"/>
    </row>
    <row r="698" ht="12.75" customHeight="1">
      <c r="B698" s="1"/>
    </row>
    <row r="699" ht="12.75" customHeight="1">
      <c r="B699" s="1"/>
    </row>
    <row r="700" ht="12.75" customHeight="1">
      <c r="B700" s="1"/>
    </row>
    <row r="701" ht="12.75" customHeight="1">
      <c r="B701" s="1"/>
    </row>
    <row r="702" ht="12.75" customHeight="1">
      <c r="B702" s="1"/>
    </row>
    <row r="703" ht="12.75" customHeight="1">
      <c r="B703" s="1"/>
    </row>
    <row r="704" ht="12.75" customHeight="1">
      <c r="B704" s="1"/>
    </row>
    <row r="705" ht="12.75" customHeight="1">
      <c r="B705" s="1"/>
    </row>
    <row r="706" ht="12.75" customHeight="1">
      <c r="B706" s="1"/>
    </row>
    <row r="707" ht="12.75" customHeight="1">
      <c r="B707" s="1"/>
    </row>
    <row r="708" ht="12.75" customHeight="1">
      <c r="B708" s="1"/>
    </row>
    <row r="709" ht="12.75" customHeight="1">
      <c r="B709" s="1"/>
    </row>
    <row r="710" ht="12.75" customHeight="1">
      <c r="B710" s="1"/>
    </row>
    <row r="711" ht="12.75" customHeight="1">
      <c r="B711" s="1"/>
    </row>
    <row r="712" ht="12.75" customHeight="1">
      <c r="B712" s="1"/>
    </row>
    <row r="713" ht="12.75" customHeight="1">
      <c r="B713" s="1"/>
    </row>
    <row r="714" ht="12.75" customHeight="1">
      <c r="B714" s="1"/>
    </row>
    <row r="715" ht="12.75" customHeight="1">
      <c r="B715" s="1"/>
    </row>
    <row r="716" ht="12.75" customHeight="1">
      <c r="B716" s="1"/>
    </row>
    <row r="717" ht="12.75" customHeight="1">
      <c r="B717" s="1"/>
    </row>
    <row r="718" ht="12.75" customHeight="1">
      <c r="B718" s="1"/>
    </row>
    <row r="719" ht="12.75" customHeight="1">
      <c r="B719" s="1"/>
    </row>
    <row r="720" ht="12.75" customHeight="1">
      <c r="B720" s="1"/>
    </row>
    <row r="721" ht="12.75" customHeight="1">
      <c r="B721" s="1"/>
    </row>
    <row r="722" ht="12.75" customHeight="1">
      <c r="B722" s="1"/>
    </row>
    <row r="723" ht="12.75" customHeight="1">
      <c r="B723" s="1"/>
    </row>
    <row r="724" ht="12.75" customHeight="1">
      <c r="B724" s="1"/>
    </row>
    <row r="725" ht="12.75" customHeight="1">
      <c r="B725" s="1"/>
    </row>
    <row r="726" ht="12.75" customHeight="1">
      <c r="B726" s="1"/>
    </row>
    <row r="727" ht="12.75" customHeight="1">
      <c r="B727" s="1"/>
    </row>
    <row r="728" ht="12.75" customHeight="1">
      <c r="B728" s="1"/>
    </row>
    <row r="729" ht="12.75" customHeight="1">
      <c r="B729" s="1"/>
    </row>
    <row r="730" ht="12.75" customHeight="1">
      <c r="B730" s="1"/>
    </row>
    <row r="731" ht="12.75" customHeight="1">
      <c r="B731" s="1"/>
    </row>
    <row r="732" ht="12.75" customHeight="1">
      <c r="B732" s="1"/>
    </row>
    <row r="733" ht="12.75" customHeight="1">
      <c r="B733" s="1"/>
    </row>
    <row r="734" ht="12.75" customHeight="1">
      <c r="B734" s="1"/>
    </row>
    <row r="735" ht="12.75" customHeight="1">
      <c r="B735" s="1"/>
    </row>
    <row r="736" ht="12.75" customHeight="1">
      <c r="B736" s="1"/>
    </row>
    <row r="737" ht="12.75" customHeight="1">
      <c r="B737" s="1"/>
    </row>
    <row r="738" ht="12.75" customHeight="1">
      <c r="B738" s="1"/>
    </row>
    <row r="739" ht="12.75" customHeight="1">
      <c r="B739" s="1"/>
    </row>
    <row r="740" ht="12.75" customHeight="1">
      <c r="B740" s="1"/>
    </row>
    <row r="741" ht="12.75" customHeight="1">
      <c r="B741" s="1"/>
    </row>
    <row r="742" ht="12.75" customHeight="1">
      <c r="B742" s="1"/>
    </row>
    <row r="743" ht="12.75" customHeight="1">
      <c r="B743" s="1"/>
    </row>
    <row r="744" ht="12.75" customHeight="1">
      <c r="B744" s="1"/>
    </row>
    <row r="745" ht="12.75" customHeight="1">
      <c r="B745" s="1"/>
    </row>
    <row r="746" ht="12.75" customHeight="1">
      <c r="B746" s="1"/>
    </row>
    <row r="747" ht="12.75" customHeight="1">
      <c r="B747" s="1"/>
    </row>
    <row r="748" ht="12.75" customHeight="1">
      <c r="B748" s="1"/>
    </row>
    <row r="749" ht="12.75" customHeight="1">
      <c r="B749" s="1"/>
    </row>
    <row r="750" ht="12.75" customHeight="1">
      <c r="B750" s="1"/>
    </row>
    <row r="751" ht="12.75" customHeight="1">
      <c r="B751" s="1"/>
    </row>
    <row r="752" ht="12.75" customHeight="1">
      <c r="B752" s="1"/>
    </row>
    <row r="753" ht="12.75" customHeight="1">
      <c r="B753" s="1"/>
    </row>
    <row r="754" ht="12.75" customHeight="1">
      <c r="B754" s="1"/>
    </row>
    <row r="755" ht="12.75" customHeight="1">
      <c r="B755" s="1"/>
    </row>
    <row r="756" ht="12.75" customHeight="1">
      <c r="B756" s="1"/>
    </row>
    <row r="757" ht="12.75" customHeight="1">
      <c r="B757" s="1"/>
    </row>
    <row r="758" ht="12.75" customHeight="1">
      <c r="B758" s="1"/>
    </row>
    <row r="759" ht="12.75" customHeight="1">
      <c r="B759" s="1"/>
    </row>
    <row r="760" ht="12.75" customHeight="1">
      <c r="B760" s="1"/>
    </row>
    <row r="761" ht="12.75" customHeight="1">
      <c r="B761" s="1"/>
    </row>
    <row r="762" ht="12.75" customHeight="1">
      <c r="B762" s="1"/>
    </row>
    <row r="763" ht="12.75" customHeight="1">
      <c r="B763" s="1"/>
    </row>
    <row r="764" ht="12.75" customHeight="1">
      <c r="B764" s="1"/>
    </row>
    <row r="765" ht="12.75" customHeight="1">
      <c r="B765" s="1"/>
    </row>
    <row r="766" ht="12.75" customHeight="1">
      <c r="B766" s="1"/>
    </row>
    <row r="767" ht="12.75" customHeight="1">
      <c r="B767" s="1"/>
    </row>
    <row r="768" ht="12.75" customHeight="1">
      <c r="B768" s="1"/>
    </row>
    <row r="769" ht="12.75" customHeight="1">
      <c r="B769" s="1"/>
    </row>
    <row r="770" ht="12.75" customHeight="1">
      <c r="B770" s="1"/>
    </row>
    <row r="771" ht="12.75" customHeight="1">
      <c r="B771" s="1"/>
    </row>
    <row r="772" ht="12.75" customHeight="1">
      <c r="B772" s="1"/>
    </row>
    <row r="773" ht="12.75" customHeight="1">
      <c r="B773" s="1"/>
    </row>
    <row r="774" ht="12.75" customHeight="1">
      <c r="B774" s="1"/>
    </row>
    <row r="775" ht="12.75" customHeight="1">
      <c r="B775" s="1"/>
    </row>
    <row r="776" ht="12.75" customHeight="1">
      <c r="B776" s="1"/>
    </row>
    <row r="777" ht="12.75" customHeight="1">
      <c r="B777" s="1"/>
    </row>
    <row r="778" ht="12.75" customHeight="1">
      <c r="B778" s="1"/>
    </row>
    <row r="779" ht="12.75" customHeight="1">
      <c r="B779" s="1"/>
    </row>
    <row r="780" ht="12.75" customHeight="1">
      <c r="B780" s="1"/>
    </row>
    <row r="781" ht="12.75" customHeight="1">
      <c r="B781" s="1"/>
    </row>
    <row r="782" ht="12.75" customHeight="1">
      <c r="B782" s="1"/>
    </row>
    <row r="783" ht="12.75" customHeight="1">
      <c r="B783" s="1"/>
    </row>
    <row r="784" ht="12.75" customHeight="1">
      <c r="B784" s="1"/>
    </row>
    <row r="785" ht="12.75" customHeight="1">
      <c r="B785" s="1"/>
    </row>
    <row r="786" ht="12.75" customHeight="1">
      <c r="B786" s="1"/>
    </row>
    <row r="787" ht="12.75" customHeight="1">
      <c r="B787" s="1"/>
    </row>
    <row r="788" ht="12.75" customHeight="1">
      <c r="B788" s="1"/>
    </row>
    <row r="789" ht="12.75" customHeight="1">
      <c r="B789" s="1"/>
    </row>
    <row r="790" ht="12.75" customHeight="1">
      <c r="B790" s="1"/>
    </row>
    <row r="791" ht="12.75" customHeight="1">
      <c r="B791" s="1"/>
    </row>
    <row r="792" ht="12.75" customHeight="1">
      <c r="B792" s="1"/>
    </row>
    <row r="793" ht="12.75" customHeight="1">
      <c r="B793" s="1"/>
    </row>
    <row r="794" ht="12.75" customHeight="1">
      <c r="B794" s="1"/>
    </row>
    <row r="795" ht="12.75" customHeight="1">
      <c r="B795" s="1"/>
    </row>
    <row r="796" ht="12.75" customHeight="1">
      <c r="B796" s="1"/>
    </row>
    <row r="797" ht="12.75" customHeight="1">
      <c r="B797" s="1"/>
    </row>
    <row r="798" ht="12.75" customHeight="1">
      <c r="B798" s="1"/>
    </row>
    <row r="799" ht="12.75" customHeight="1">
      <c r="B799" s="1"/>
    </row>
    <row r="800" ht="12.75" customHeight="1">
      <c r="B800" s="1"/>
    </row>
    <row r="801" ht="12.75" customHeight="1">
      <c r="B801" s="1"/>
    </row>
    <row r="802" ht="12.75" customHeight="1">
      <c r="B802" s="1"/>
    </row>
    <row r="803" ht="12.75" customHeight="1">
      <c r="B803" s="1"/>
    </row>
    <row r="804" ht="12.75" customHeight="1">
      <c r="B804" s="1"/>
    </row>
    <row r="805" ht="12.75" customHeight="1">
      <c r="B805" s="1"/>
    </row>
    <row r="806" ht="12.75" customHeight="1">
      <c r="B806" s="1"/>
    </row>
    <row r="807" ht="12.75" customHeight="1">
      <c r="B807" s="1"/>
    </row>
    <row r="808" ht="12.75" customHeight="1">
      <c r="B808" s="1"/>
    </row>
    <row r="809" ht="12.75" customHeight="1">
      <c r="B809" s="1"/>
    </row>
    <row r="810" ht="12.75" customHeight="1">
      <c r="B810" s="1"/>
    </row>
    <row r="811" ht="12.75" customHeight="1">
      <c r="B811" s="1"/>
    </row>
    <row r="812" ht="12.75" customHeight="1">
      <c r="B812" s="1"/>
    </row>
    <row r="813" ht="12.75" customHeight="1">
      <c r="B813" s="1"/>
    </row>
    <row r="814" ht="12.75" customHeight="1">
      <c r="B814" s="1"/>
    </row>
    <row r="815" ht="12.75" customHeight="1">
      <c r="B815" s="1"/>
    </row>
    <row r="816" ht="12.75" customHeight="1">
      <c r="B816" s="1"/>
    </row>
    <row r="817" ht="12.75" customHeight="1">
      <c r="B817" s="1"/>
    </row>
    <row r="818" ht="12.75" customHeight="1">
      <c r="B818" s="1"/>
    </row>
    <row r="819" ht="12.75" customHeight="1">
      <c r="B819" s="1"/>
    </row>
    <row r="820" ht="12.75" customHeight="1">
      <c r="B820" s="1"/>
    </row>
    <row r="821" ht="12.75" customHeight="1">
      <c r="B821" s="1"/>
    </row>
    <row r="822" ht="12.75" customHeight="1">
      <c r="B822" s="1"/>
    </row>
    <row r="823" ht="12.75" customHeight="1">
      <c r="B823" s="1"/>
    </row>
    <row r="824" ht="12.75" customHeight="1">
      <c r="B824" s="1"/>
    </row>
    <row r="825" ht="12.75" customHeight="1">
      <c r="B825" s="1"/>
    </row>
    <row r="826" ht="12.75" customHeight="1">
      <c r="B826" s="1"/>
    </row>
    <row r="827" ht="12.75" customHeight="1">
      <c r="B827" s="1"/>
    </row>
    <row r="828" ht="12.75" customHeight="1">
      <c r="B828" s="1"/>
    </row>
    <row r="829" ht="12.75" customHeight="1">
      <c r="B829" s="1"/>
    </row>
    <row r="830" ht="12.75" customHeight="1">
      <c r="B830" s="1"/>
    </row>
    <row r="831" ht="12.75" customHeight="1">
      <c r="B831" s="1"/>
    </row>
    <row r="832" ht="12.75" customHeight="1">
      <c r="B832" s="1"/>
    </row>
    <row r="833" ht="12.75" customHeight="1">
      <c r="B833" s="1"/>
    </row>
    <row r="834" ht="12.75" customHeight="1">
      <c r="B834" s="1"/>
    </row>
    <row r="835" ht="12.75" customHeight="1">
      <c r="B835" s="1"/>
    </row>
    <row r="836" ht="12.75" customHeight="1">
      <c r="B836" s="1"/>
    </row>
    <row r="837" ht="12.75" customHeight="1">
      <c r="B837" s="1"/>
    </row>
    <row r="838" ht="12.75" customHeight="1">
      <c r="B838" s="1"/>
    </row>
    <row r="839" ht="12.75" customHeight="1">
      <c r="B839" s="1"/>
    </row>
    <row r="840" ht="12.75" customHeight="1">
      <c r="B840" s="1"/>
    </row>
    <row r="841" ht="12.75" customHeight="1">
      <c r="B841" s="1"/>
    </row>
    <row r="842" ht="12.75" customHeight="1">
      <c r="B842" s="1"/>
    </row>
    <row r="843" ht="12.75" customHeight="1">
      <c r="B843" s="1"/>
    </row>
    <row r="844" ht="12.75" customHeight="1">
      <c r="B844" s="1"/>
    </row>
    <row r="845" ht="12.75" customHeight="1">
      <c r="B845" s="1"/>
    </row>
    <row r="846" ht="12.75" customHeight="1">
      <c r="B846" s="1"/>
    </row>
    <row r="847" ht="12.75" customHeight="1">
      <c r="B847" s="1"/>
    </row>
    <row r="848" ht="12.75" customHeight="1">
      <c r="B848" s="1"/>
    </row>
    <row r="849" ht="12.75" customHeight="1">
      <c r="B849" s="1"/>
    </row>
    <row r="850" ht="12.75" customHeight="1">
      <c r="B850" s="1"/>
    </row>
    <row r="851" ht="12.75" customHeight="1">
      <c r="B851" s="1"/>
    </row>
    <row r="852" ht="12.75" customHeight="1">
      <c r="B852" s="1"/>
    </row>
    <row r="853" ht="12.75" customHeight="1">
      <c r="B853" s="1"/>
    </row>
    <row r="854" ht="12.75" customHeight="1">
      <c r="B854" s="1"/>
    </row>
    <row r="855" ht="12.75" customHeight="1">
      <c r="B855" s="1"/>
    </row>
    <row r="856" ht="12.75" customHeight="1">
      <c r="B856" s="1"/>
    </row>
    <row r="857" ht="12.75" customHeight="1">
      <c r="B857" s="1"/>
    </row>
    <row r="858" ht="12.75" customHeight="1">
      <c r="B858" s="1"/>
    </row>
    <row r="859" ht="12.75" customHeight="1">
      <c r="B859" s="1"/>
    </row>
    <row r="860" ht="12.75" customHeight="1">
      <c r="B860" s="1"/>
    </row>
    <row r="861" ht="12.75" customHeight="1">
      <c r="B861" s="1"/>
    </row>
    <row r="862" ht="12.75" customHeight="1">
      <c r="B862" s="1"/>
    </row>
    <row r="863" ht="12.75" customHeight="1">
      <c r="B863" s="1"/>
    </row>
    <row r="864" ht="12.75" customHeight="1">
      <c r="B864" s="1"/>
    </row>
    <row r="865" ht="12.75" customHeight="1">
      <c r="B865" s="1"/>
    </row>
    <row r="866" ht="12.75" customHeight="1">
      <c r="B866" s="1"/>
    </row>
    <row r="867" ht="12.75" customHeight="1">
      <c r="B867" s="1"/>
    </row>
    <row r="868" ht="12.75" customHeight="1">
      <c r="B868" s="1"/>
    </row>
    <row r="869" ht="12.75" customHeight="1">
      <c r="B869" s="1"/>
    </row>
    <row r="870" ht="12.75" customHeight="1">
      <c r="B870" s="1"/>
    </row>
    <row r="871" ht="12.75" customHeight="1">
      <c r="B871" s="1"/>
    </row>
    <row r="872" ht="12.75" customHeight="1">
      <c r="B872" s="1"/>
    </row>
    <row r="873" ht="12.75" customHeight="1">
      <c r="B873" s="1"/>
    </row>
    <row r="874" ht="12.75" customHeight="1">
      <c r="B874" s="1"/>
    </row>
    <row r="875" ht="12.75" customHeight="1">
      <c r="B875" s="1"/>
    </row>
    <row r="876" ht="12.75" customHeight="1">
      <c r="B876" s="1"/>
    </row>
    <row r="877" ht="12.75" customHeight="1">
      <c r="B877" s="1"/>
    </row>
    <row r="878" ht="12.75" customHeight="1">
      <c r="B878" s="1"/>
    </row>
    <row r="879" ht="12.75" customHeight="1">
      <c r="B879" s="1"/>
    </row>
    <row r="880" ht="12.75" customHeight="1">
      <c r="B880" s="1"/>
    </row>
    <row r="881" ht="12.75" customHeight="1">
      <c r="B881" s="1"/>
    </row>
    <row r="882" ht="12.75" customHeight="1">
      <c r="B882" s="1"/>
    </row>
    <row r="883" ht="12.75" customHeight="1">
      <c r="B883" s="1"/>
    </row>
    <row r="884" ht="12.75" customHeight="1">
      <c r="B884" s="1"/>
    </row>
    <row r="885" ht="12.75" customHeight="1">
      <c r="B885" s="1"/>
    </row>
    <row r="886" ht="12.75" customHeight="1">
      <c r="B886" s="1"/>
    </row>
    <row r="887" ht="12.75" customHeight="1">
      <c r="B887" s="1"/>
    </row>
    <row r="888" ht="12.75" customHeight="1">
      <c r="B888" s="1"/>
    </row>
    <row r="889" ht="12.75" customHeight="1">
      <c r="B889" s="1"/>
    </row>
    <row r="890" ht="12.75" customHeight="1">
      <c r="B890" s="1"/>
    </row>
    <row r="891" ht="12.75" customHeight="1">
      <c r="B891" s="1"/>
    </row>
    <row r="892" ht="12.75" customHeight="1">
      <c r="B892" s="1"/>
    </row>
    <row r="893" ht="12.75" customHeight="1">
      <c r="B893" s="1"/>
    </row>
    <row r="894" ht="12.75" customHeight="1">
      <c r="B894" s="1"/>
    </row>
    <row r="895" ht="12.75" customHeight="1">
      <c r="B895" s="1"/>
    </row>
    <row r="896" ht="12.75" customHeight="1">
      <c r="B896" s="1"/>
    </row>
    <row r="897" ht="12.75" customHeight="1">
      <c r="B897" s="1"/>
    </row>
    <row r="898" ht="12.75" customHeight="1">
      <c r="B898" s="1"/>
    </row>
    <row r="899" ht="12.75" customHeight="1">
      <c r="B899" s="1"/>
    </row>
    <row r="900" ht="12.75" customHeight="1">
      <c r="B900" s="1"/>
    </row>
    <row r="901" ht="12.75" customHeight="1">
      <c r="B901" s="1"/>
    </row>
    <row r="902" ht="12.75" customHeight="1">
      <c r="B902" s="1"/>
    </row>
    <row r="903" ht="12.75" customHeight="1">
      <c r="B903" s="1"/>
    </row>
    <row r="904" ht="12.75" customHeight="1">
      <c r="B904" s="1"/>
    </row>
    <row r="905" ht="12.75" customHeight="1">
      <c r="B905" s="1"/>
    </row>
    <row r="906" ht="12.75" customHeight="1">
      <c r="B906" s="1"/>
    </row>
    <row r="907" ht="12.75" customHeight="1">
      <c r="B907" s="1"/>
    </row>
    <row r="908" ht="12.75" customHeight="1">
      <c r="B908" s="1"/>
    </row>
    <row r="909" ht="12.75" customHeight="1">
      <c r="B909" s="1"/>
    </row>
    <row r="910" ht="12.75" customHeight="1">
      <c r="B910" s="1"/>
    </row>
    <row r="911" ht="12.75" customHeight="1">
      <c r="B911" s="1"/>
    </row>
    <row r="912" ht="12.75" customHeight="1">
      <c r="B912" s="1"/>
    </row>
    <row r="913" ht="12.75" customHeight="1">
      <c r="B913" s="1"/>
    </row>
    <row r="914" ht="12.75" customHeight="1">
      <c r="B914" s="1"/>
    </row>
    <row r="915" ht="12.75" customHeight="1">
      <c r="B915" s="1"/>
    </row>
    <row r="916" ht="12.75" customHeight="1">
      <c r="B916" s="1"/>
    </row>
    <row r="917" ht="12.75" customHeight="1">
      <c r="B917" s="1"/>
    </row>
    <row r="918" ht="12.75" customHeight="1">
      <c r="B918" s="1"/>
    </row>
    <row r="919" ht="12.75" customHeight="1">
      <c r="B919" s="1"/>
    </row>
    <row r="920" ht="12.75" customHeight="1">
      <c r="B920" s="1"/>
    </row>
    <row r="921" ht="12.75" customHeight="1">
      <c r="B921" s="1"/>
    </row>
    <row r="922" ht="12.75" customHeight="1">
      <c r="B922" s="1"/>
    </row>
    <row r="923" ht="12.75" customHeight="1">
      <c r="B923" s="1"/>
    </row>
    <row r="924" ht="12.75" customHeight="1">
      <c r="B924" s="1"/>
    </row>
    <row r="925" ht="12.75" customHeight="1">
      <c r="B925" s="1"/>
    </row>
    <row r="926" ht="12.75" customHeight="1">
      <c r="B926" s="1"/>
    </row>
    <row r="927" ht="12.75" customHeight="1">
      <c r="B927" s="1"/>
    </row>
    <row r="928" ht="12.75" customHeight="1">
      <c r="B928" s="1"/>
    </row>
    <row r="929" ht="12.75" customHeight="1">
      <c r="B929" s="1"/>
    </row>
    <row r="930" ht="12.75" customHeight="1">
      <c r="B930" s="1"/>
    </row>
    <row r="931" ht="12.75" customHeight="1">
      <c r="B931" s="1"/>
    </row>
    <row r="932" ht="12.75" customHeight="1">
      <c r="B932" s="1"/>
    </row>
    <row r="933" ht="12.75" customHeight="1">
      <c r="B933" s="1"/>
    </row>
    <row r="934" ht="12.75" customHeight="1">
      <c r="B934" s="1"/>
    </row>
    <row r="935" ht="12.75" customHeight="1">
      <c r="B935" s="1"/>
    </row>
    <row r="936" ht="12.75" customHeight="1">
      <c r="B936" s="1"/>
    </row>
    <row r="937" ht="12.75" customHeight="1">
      <c r="B937" s="1"/>
    </row>
    <row r="938" ht="12.75" customHeight="1">
      <c r="B938" s="1"/>
    </row>
    <row r="939" ht="12.75" customHeight="1">
      <c r="B939" s="1"/>
    </row>
    <row r="940" ht="12.75" customHeight="1">
      <c r="B940" s="1"/>
    </row>
    <row r="941" ht="12.75" customHeight="1">
      <c r="B941" s="1"/>
    </row>
    <row r="942" ht="12.75" customHeight="1">
      <c r="B942" s="1"/>
    </row>
    <row r="943" ht="12.75" customHeight="1">
      <c r="B943" s="1"/>
    </row>
    <row r="944" ht="12.75" customHeight="1">
      <c r="B944" s="1"/>
    </row>
    <row r="945" ht="12.75" customHeight="1">
      <c r="B945" s="1"/>
    </row>
    <row r="946" ht="12.75" customHeight="1">
      <c r="B946" s="1"/>
    </row>
    <row r="947" ht="12.75" customHeight="1">
      <c r="B947" s="1"/>
    </row>
    <row r="948" ht="12.75" customHeight="1">
      <c r="B948" s="1"/>
    </row>
    <row r="949" ht="12.75" customHeight="1">
      <c r="B949" s="1"/>
    </row>
    <row r="950" ht="12.75" customHeight="1">
      <c r="B950" s="1"/>
    </row>
    <row r="951" ht="12.75" customHeight="1">
      <c r="B951" s="1"/>
    </row>
    <row r="952" ht="12.75" customHeight="1">
      <c r="B952" s="1"/>
    </row>
    <row r="953" ht="12.75" customHeight="1">
      <c r="B953" s="1"/>
    </row>
    <row r="954" ht="12.75" customHeight="1">
      <c r="B954" s="1"/>
    </row>
    <row r="955" ht="12.75" customHeight="1">
      <c r="B955" s="1"/>
    </row>
    <row r="956" ht="12.75" customHeight="1">
      <c r="B956" s="1"/>
    </row>
    <row r="957" ht="12.75" customHeight="1">
      <c r="B957" s="1"/>
    </row>
    <row r="958" ht="12.75" customHeight="1">
      <c r="B958" s="1"/>
    </row>
    <row r="959" ht="12.75" customHeight="1">
      <c r="B959" s="1"/>
    </row>
    <row r="960" ht="12.75" customHeight="1">
      <c r="B960" s="1"/>
    </row>
    <row r="961" ht="12.75" customHeight="1">
      <c r="B961" s="1"/>
    </row>
    <row r="962" ht="12.75" customHeight="1">
      <c r="B962" s="1"/>
    </row>
    <row r="963" ht="12.75" customHeight="1">
      <c r="B963" s="1"/>
    </row>
    <row r="964" ht="12.75" customHeight="1">
      <c r="B964" s="1"/>
    </row>
    <row r="965" ht="12.75" customHeight="1">
      <c r="B965" s="1"/>
    </row>
    <row r="966" ht="12.75" customHeight="1">
      <c r="B966" s="1"/>
    </row>
    <row r="967" ht="12.75" customHeight="1">
      <c r="B967" s="1"/>
    </row>
    <row r="968" ht="12.75" customHeight="1">
      <c r="B968" s="1"/>
    </row>
    <row r="969" ht="12.75" customHeight="1">
      <c r="B969" s="1"/>
    </row>
    <row r="970" ht="12.75" customHeight="1">
      <c r="B970" s="1"/>
    </row>
    <row r="971" ht="12.75" customHeight="1">
      <c r="B971" s="1"/>
    </row>
    <row r="972" ht="12.75" customHeight="1">
      <c r="B972" s="1"/>
    </row>
    <row r="973" ht="12.75" customHeight="1">
      <c r="B973" s="1"/>
    </row>
    <row r="974" ht="12.75" customHeight="1">
      <c r="B974" s="1"/>
    </row>
    <row r="975" ht="12.75" customHeight="1">
      <c r="B975" s="1"/>
    </row>
    <row r="976" ht="12.75" customHeight="1">
      <c r="B976" s="1"/>
    </row>
    <row r="977" ht="12.75" customHeight="1">
      <c r="B977" s="1"/>
    </row>
    <row r="978" ht="12.75" customHeight="1">
      <c r="B978" s="1"/>
    </row>
    <row r="979" ht="12.75" customHeight="1">
      <c r="B979" s="1"/>
    </row>
    <row r="980" ht="12.75" customHeight="1">
      <c r="B980" s="1"/>
    </row>
    <row r="981" ht="12.75" customHeight="1">
      <c r="B981" s="1"/>
    </row>
    <row r="982" ht="12.75" customHeight="1">
      <c r="B982" s="1"/>
    </row>
    <row r="983" ht="12.75" customHeight="1">
      <c r="B983" s="1"/>
    </row>
    <row r="984" ht="12.75" customHeight="1">
      <c r="B984" s="1"/>
    </row>
    <row r="985" ht="12.75" customHeight="1">
      <c r="B985" s="1"/>
    </row>
    <row r="986" ht="12.75" customHeight="1">
      <c r="B986" s="1"/>
    </row>
    <row r="987" ht="12.75" customHeight="1">
      <c r="B987" s="1"/>
    </row>
    <row r="988" ht="12.75" customHeight="1">
      <c r="B988" s="1"/>
    </row>
    <row r="989" ht="12.75" customHeight="1">
      <c r="B989" s="1"/>
    </row>
    <row r="990" ht="12.75" customHeight="1">
      <c r="B990" s="1"/>
    </row>
    <row r="991" ht="12.75" customHeight="1">
      <c r="B991" s="1"/>
    </row>
    <row r="992" ht="12.75" customHeight="1">
      <c r="B992" s="1"/>
    </row>
    <row r="993" ht="12.75" customHeight="1">
      <c r="B993" s="1"/>
    </row>
    <row r="994" ht="12.75" customHeight="1">
      <c r="B994" s="1"/>
    </row>
    <row r="995" ht="12.75" customHeight="1">
      <c r="B995" s="1"/>
    </row>
    <row r="996" ht="12.75" customHeight="1">
      <c r="B996" s="1"/>
    </row>
    <row r="997" ht="12.75" customHeight="1">
      <c r="B997" s="1"/>
    </row>
    <row r="998" ht="12.75" customHeight="1">
      <c r="B998" s="1"/>
    </row>
    <row r="999" ht="12.75" customHeight="1">
      <c r="B999" s="1"/>
    </row>
    <row r="1000" ht="12.75" customHeight="1">
      <c r="B1000" s="1"/>
    </row>
  </sheetData>
  <printOptions/>
  <pageMargins bottom="1.05277777777778" footer="0.0" header="0.0" left="0.7875" right="0.7875" top="1.05277777777778"/>
  <pageSetup paperSize="9" orientation="portrait"/>
  <headerFooter>
    <oddHeader>&amp;C&amp;A</oddHeader>
    <oddFooter>&amp;CPágina &amp;P</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8.63"/>
    <col customWidth="1" min="3" max="3" width="13.0"/>
    <col customWidth="1" min="4" max="4" width="16.5"/>
    <col customWidth="1" min="5" max="5" width="18.63"/>
    <col customWidth="1" min="6" max="6" width="17.13"/>
  </cols>
  <sheetData>
    <row r="1" ht="12.75" customHeight="1">
      <c r="A1" s="1"/>
      <c r="B1" s="1"/>
      <c r="C1" s="1"/>
      <c r="D1" s="1"/>
      <c r="E1" s="1"/>
      <c r="F1" s="1"/>
      <c r="G1" s="1"/>
    </row>
    <row r="2" ht="12.75" customHeight="1">
      <c r="A2" s="1"/>
      <c r="B2" s="1"/>
      <c r="C2" s="1"/>
      <c r="D2" s="1"/>
      <c r="E2" s="1"/>
      <c r="F2" s="1"/>
      <c r="G2" s="1"/>
    </row>
    <row r="3" ht="12.75" customHeight="1">
      <c r="A3" s="1"/>
      <c r="B3" s="2"/>
      <c r="G3" s="1"/>
    </row>
    <row r="4" ht="12.75" customHeight="1">
      <c r="A4" s="1"/>
      <c r="B4" s="1"/>
      <c r="G4" s="1"/>
    </row>
    <row r="5" ht="12.75" customHeight="1">
      <c r="G5" s="1"/>
    </row>
    <row r="6" ht="12.75" customHeight="1">
      <c r="E6" s="1"/>
      <c r="F6" s="1"/>
      <c r="G6" s="1"/>
    </row>
    <row r="7" ht="12.75" customHeight="1">
      <c r="E7" s="5"/>
      <c r="F7" s="1"/>
      <c r="G7" s="1"/>
    </row>
    <row r="8" ht="12.75" customHeight="1">
      <c r="E8" s="5"/>
      <c r="F8" s="1"/>
      <c r="G8" s="1"/>
    </row>
    <row r="9" ht="12.75" customHeight="1">
      <c r="E9" s="5"/>
      <c r="F9" s="1"/>
      <c r="G9" s="1"/>
    </row>
    <row r="10" ht="12.75" customHeight="1">
      <c r="E10" s="5"/>
      <c r="F10" s="1"/>
      <c r="G10" s="1"/>
    </row>
    <row r="11" ht="12.75" customHeight="1">
      <c r="E11" s="5"/>
      <c r="F11" s="1"/>
      <c r="G11" s="1"/>
    </row>
    <row r="12" ht="12.75" customHeight="1">
      <c r="E12" s="5"/>
      <c r="F12" s="1"/>
      <c r="G12" s="1"/>
    </row>
    <row r="13" ht="12.75" customHeight="1">
      <c r="E13" s="5"/>
      <c r="F13" s="1"/>
      <c r="G13" s="1"/>
    </row>
    <row r="14" ht="12.75" customHeight="1">
      <c r="E14" s="5"/>
      <c r="F14" s="1"/>
      <c r="G14" s="1"/>
    </row>
    <row r="15" ht="12.75" customHeight="1">
      <c r="E15" s="5"/>
      <c r="F15" s="1"/>
      <c r="G15" s="1"/>
    </row>
    <row r="16" ht="12.75" customHeight="1">
      <c r="E16" s="5"/>
      <c r="F16" s="1"/>
      <c r="G16" s="1"/>
    </row>
    <row r="17" ht="12.75" customHeight="1">
      <c r="E17" s="5"/>
      <c r="F17" s="1"/>
      <c r="G17" s="1"/>
    </row>
    <row r="18" ht="12.75" customHeight="1">
      <c r="E18" s="5"/>
      <c r="F18" s="1"/>
      <c r="G18" s="1"/>
    </row>
    <row r="19" ht="12.75" customHeight="1">
      <c r="E19" s="5"/>
      <c r="F19" s="1"/>
      <c r="G19" s="1"/>
    </row>
    <row r="20" ht="12.75" customHeight="1">
      <c r="E20" s="5"/>
      <c r="F20" s="1"/>
      <c r="G20" s="1"/>
    </row>
    <row r="21" ht="12.75" customHeight="1">
      <c r="E21" s="5"/>
      <c r="F21" s="1"/>
      <c r="G21" s="1"/>
    </row>
    <row r="22" ht="12.75" customHeight="1">
      <c r="E22" s="5"/>
      <c r="F22" s="1"/>
      <c r="G22" s="1"/>
    </row>
    <row r="23" ht="12.75" customHeight="1">
      <c r="E23" s="5"/>
      <c r="F23" s="1"/>
      <c r="G23" s="1"/>
    </row>
    <row r="24" ht="12.75" customHeight="1">
      <c r="E24" s="5"/>
      <c r="F24" s="1"/>
      <c r="G24" s="1"/>
    </row>
    <row r="25" ht="12.75" customHeight="1">
      <c r="E25" s="5"/>
      <c r="F25" s="1"/>
      <c r="G25" s="1"/>
    </row>
    <row r="26" ht="12.75" customHeight="1">
      <c r="E26" s="5"/>
      <c r="F26" s="1"/>
      <c r="G26" s="1"/>
    </row>
    <row r="27" ht="12.75" customHeight="1">
      <c r="E27" s="5"/>
      <c r="F27" s="1"/>
      <c r="G27" s="1"/>
    </row>
    <row r="28" ht="12.75" customHeight="1">
      <c r="E28" s="5"/>
      <c r="F28" s="1"/>
      <c r="G28" s="1"/>
    </row>
    <row r="29" ht="12.75" customHeight="1">
      <c r="E29" s="5"/>
      <c r="F29" s="1"/>
      <c r="G29" s="1"/>
    </row>
    <row r="30" ht="12.75" customHeight="1">
      <c r="E30" s="5"/>
      <c r="F30" s="1"/>
      <c r="G30" s="1"/>
    </row>
    <row r="31" ht="12.75" customHeight="1">
      <c r="E31" s="5"/>
      <c r="F31" s="1"/>
      <c r="G31" s="1"/>
    </row>
    <row r="32" ht="12.75" customHeight="1">
      <c r="E32" s="5"/>
      <c r="F32" s="1"/>
      <c r="G32" s="1"/>
    </row>
    <row r="33" ht="12.75" customHeight="1">
      <c r="E33" s="5"/>
      <c r="F33" s="1"/>
      <c r="G33" s="1"/>
    </row>
    <row r="34" ht="12.75" customHeight="1">
      <c r="E34" s="5"/>
      <c r="F34" s="1"/>
      <c r="G34" s="1"/>
    </row>
    <row r="35" ht="12.75" customHeight="1">
      <c r="E35" s="5"/>
      <c r="F35" s="1"/>
      <c r="G35" s="1"/>
    </row>
    <row r="36" ht="12.75" customHeight="1">
      <c r="E36" s="5"/>
      <c r="F36" s="1"/>
      <c r="G36" s="1"/>
    </row>
    <row r="37" ht="12.75" customHeight="1">
      <c r="E37" s="6"/>
      <c r="F37" s="7"/>
      <c r="G37" s="1"/>
    </row>
    <row r="38" ht="12.75" customHeight="1">
      <c r="G38" s="1"/>
    </row>
    <row r="39" ht="12.75" customHeight="1">
      <c r="G39" s="1"/>
    </row>
    <row r="40" ht="12.75" customHeight="1">
      <c r="G40" s="1"/>
    </row>
    <row r="41" ht="12.75" customHeight="1">
      <c r="G41" s="1"/>
    </row>
    <row r="42" ht="12.75" customHeight="1">
      <c r="G42" s="1"/>
    </row>
    <row r="43" ht="12.75" customHeight="1">
      <c r="G43" s="1"/>
    </row>
    <row r="44" ht="12.75" customHeight="1">
      <c r="G44" s="1"/>
    </row>
    <row r="45" ht="12.75" customHeight="1">
      <c r="G45" s="1"/>
    </row>
    <row r="46" ht="12.75" customHeight="1">
      <c r="G46" s="1"/>
    </row>
    <row r="47" ht="12.75" customHeight="1">
      <c r="G47" s="1"/>
    </row>
    <row r="48" ht="12.75" customHeight="1">
      <c r="G48" s="1"/>
    </row>
    <row r="49" ht="12.75" customHeight="1">
      <c r="G49" s="1"/>
    </row>
    <row r="50" ht="12.75" customHeight="1">
      <c r="G50" s="1"/>
    </row>
    <row r="51" ht="12.75" customHeight="1">
      <c r="G51" s="1"/>
    </row>
    <row r="52" ht="12.75" customHeight="1">
      <c r="G52" s="1"/>
    </row>
    <row r="53" ht="12.75" customHeight="1">
      <c r="G53" s="1"/>
    </row>
    <row r="54" ht="12.75" customHeight="1">
      <c r="G54" s="1"/>
    </row>
    <row r="55" ht="12.75" customHeight="1">
      <c r="G55" s="1"/>
    </row>
    <row r="56" ht="12.75" customHeight="1">
      <c r="G56" s="1"/>
    </row>
    <row r="57" ht="12.75" customHeight="1">
      <c r="G57" s="1"/>
    </row>
    <row r="58" ht="12.75" customHeight="1">
      <c r="G58" s="1"/>
    </row>
    <row r="59" ht="12.75" customHeight="1">
      <c r="G59" s="1"/>
    </row>
    <row r="60" ht="12.75" customHeight="1">
      <c r="G60" s="1"/>
    </row>
    <row r="61" ht="12.75" customHeight="1">
      <c r="G61" s="1"/>
    </row>
    <row r="62" ht="12.75" customHeight="1">
      <c r="G62" s="1"/>
    </row>
    <row r="63" ht="12.75" customHeight="1">
      <c r="G63" s="1"/>
    </row>
    <row r="64" ht="12.75" customHeight="1">
      <c r="G64" s="1"/>
    </row>
    <row r="65" ht="12.75" customHeight="1">
      <c r="G65" s="1"/>
    </row>
    <row r="66" ht="12.75" customHeight="1">
      <c r="G66" s="1"/>
    </row>
    <row r="67" ht="12.75" customHeight="1">
      <c r="G67" s="1"/>
    </row>
    <row r="68" ht="12.75" customHeight="1">
      <c r="G68" s="1"/>
    </row>
    <row r="69" ht="12.75" customHeight="1">
      <c r="G69" s="1"/>
    </row>
    <row r="70" ht="12.75" customHeight="1">
      <c r="G70" s="1"/>
    </row>
    <row r="71" ht="12.75" customHeight="1">
      <c r="G71" s="1"/>
    </row>
    <row r="72" ht="12.75" customHeight="1">
      <c r="G72" s="1"/>
    </row>
    <row r="73" ht="12.75" customHeight="1">
      <c r="G73" s="1"/>
    </row>
    <row r="74" ht="12.75" customHeight="1">
      <c r="G74" s="1"/>
    </row>
    <row r="75" ht="12.75" customHeight="1">
      <c r="G75" s="1"/>
    </row>
    <row r="76" ht="12.75" customHeight="1">
      <c r="G76" s="1"/>
    </row>
    <row r="77" ht="12.75" customHeight="1">
      <c r="G77" s="1"/>
    </row>
    <row r="78" ht="12.75" customHeight="1">
      <c r="G78" s="1"/>
    </row>
    <row r="79" ht="12.75" customHeight="1">
      <c r="G79" s="1"/>
    </row>
    <row r="80" ht="12.75" customHeight="1">
      <c r="G80" s="1"/>
    </row>
    <row r="81" ht="12.75" customHeight="1">
      <c r="G81" s="1"/>
    </row>
    <row r="82" ht="12.75" customHeight="1">
      <c r="G82" s="1"/>
    </row>
    <row r="83" ht="12.75" customHeight="1">
      <c r="G83" s="1"/>
    </row>
    <row r="84" ht="12.75" customHeight="1">
      <c r="G84" s="1"/>
    </row>
    <row r="85" ht="12.75" customHeight="1">
      <c r="G85" s="1"/>
    </row>
    <row r="86" ht="12.75" customHeight="1">
      <c r="G86" s="1"/>
    </row>
    <row r="87" ht="12.75" customHeight="1">
      <c r="G87" s="1"/>
    </row>
    <row r="88" ht="12.75" customHeight="1">
      <c r="G88" s="1"/>
    </row>
    <row r="89" ht="12.75" customHeight="1">
      <c r="G89" s="1"/>
    </row>
    <row r="90" ht="12.75" customHeight="1">
      <c r="G90" s="1"/>
    </row>
    <row r="91" ht="12.75" customHeight="1">
      <c r="G91" s="1"/>
    </row>
    <row r="92" ht="12.75" customHeight="1">
      <c r="G92" s="1"/>
    </row>
    <row r="93" ht="12.75" customHeight="1">
      <c r="G93" s="1"/>
    </row>
    <row r="94" ht="12.75" customHeight="1">
      <c r="G94" s="1"/>
    </row>
    <row r="95" ht="12.75" customHeight="1">
      <c r="G95" s="1"/>
    </row>
    <row r="96" ht="12.75" customHeight="1">
      <c r="G96" s="1"/>
    </row>
    <row r="97" ht="12.75" customHeight="1">
      <c r="G97" s="1"/>
    </row>
    <row r="98" ht="12.75" customHeight="1">
      <c r="G98" s="1"/>
    </row>
    <row r="99" ht="12.75" customHeight="1">
      <c r="G99" s="1"/>
    </row>
    <row r="100" ht="12.75" customHeight="1">
      <c r="G100" s="1"/>
    </row>
    <row r="101" ht="12.75" customHeight="1">
      <c r="G101" s="1"/>
    </row>
    <row r="102" ht="12.75" customHeight="1">
      <c r="G102" s="1"/>
    </row>
    <row r="103" ht="12.75" customHeight="1">
      <c r="G103" s="1"/>
    </row>
    <row r="104" ht="12.75" customHeight="1">
      <c r="G104" s="1"/>
    </row>
    <row r="105" ht="12.75" customHeight="1">
      <c r="G105" s="1"/>
    </row>
    <row r="106" ht="12.75" customHeight="1">
      <c r="G106" s="1"/>
    </row>
    <row r="107" ht="12.75" customHeight="1">
      <c r="G107" s="1"/>
    </row>
    <row r="108" ht="12.75" customHeight="1">
      <c r="G108" s="1"/>
    </row>
    <row r="109" ht="12.75" customHeight="1">
      <c r="G109" s="1"/>
    </row>
    <row r="110" ht="12.75" customHeight="1">
      <c r="G110" s="1"/>
    </row>
    <row r="111" ht="12.75" customHeight="1">
      <c r="G111" s="1"/>
    </row>
    <row r="112" ht="12.75" customHeight="1">
      <c r="G112" s="1"/>
    </row>
    <row r="113" ht="12.75" customHeight="1">
      <c r="G113" s="1"/>
    </row>
    <row r="114" ht="12.75" customHeight="1">
      <c r="G114" s="1"/>
    </row>
    <row r="115" ht="12.75" customHeight="1">
      <c r="G115" s="1"/>
    </row>
    <row r="116" ht="12.75" customHeight="1">
      <c r="G116" s="1"/>
    </row>
    <row r="117" ht="12.75" customHeight="1">
      <c r="G117" s="1"/>
    </row>
    <row r="118" ht="12.75" customHeight="1">
      <c r="G118" s="1"/>
    </row>
    <row r="119" ht="12.75" customHeight="1">
      <c r="G119" s="1"/>
    </row>
    <row r="120" ht="12.75" customHeight="1">
      <c r="G120" s="1"/>
    </row>
    <row r="121" ht="12.75" customHeight="1">
      <c r="G121" s="1"/>
    </row>
    <row r="122" ht="12.75" customHeight="1">
      <c r="G122" s="1"/>
    </row>
    <row r="123" ht="12.75" customHeight="1">
      <c r="G123" s="1"/>
    </row>
    <row r="124" ht="12.75" customHeight="1">
      <c r="G124" s="1"/>
    </row>
    <row r="125" ht="12.75" customHeight="1">
      <c r="G125" s="1"/>
    </row>
    <row r="126" ht="12.75" customHeight="1">
      <c r="G126" s="1"/>
    </row>
    <row r="127" ht="12.75" customHeight="1">
      <c r="G127" s="1"/>
    </row>
    <row r="128" ht="12.75" customHeight="1">
      <c r="G128" s="1"/>
    </row>
    <row r="129" ht="12.75" customHeight="1">
      <c r="G129" s="1"/>
    </row>
    <row r="130" ht="12.75" customHeight="1">
      <c r="G130" s="1"/>
    </row>
    <row r="131" ht="12.75" customHeight="1">
      <c r="G131" s="1"/>
    </row>
    <row r="132" ht="12.75" customHeight="1">
      <c r="G132" s="1"/>
    </row>
    <row r="133" ht="12.75" customHeight="1">
      <c r="G133" s="1"/>
    </row>
    <row r="134" ht="12.75" customHeight="1">
      <c r="G134" s="1"/>
    </row>
    <row r="135" ht="12.75" customHeight="1">
      <c r="G135" s="1"/>
    </row>
    <row r="136" ht="12.75" customHeight="1">
      <c r="G136" s="1"/>
    </row>
    <row r="137" ht="12.75" customHeight="1">
      <c r="G137" s="1"/>
    </row>
    <row r="138" ht="12.75" customHeight="1">
      <c r="G138" s="1"/>
    </row>
    <row r="139" ht="12.75" customHeight="1">
      <c r="G139" s="1"/>
    </row>
    <row r="140" ht="12.75" customHeight="1">
      <c r="G140" s="1"/>
    </row>
    <row r="141" ht="12.75" customHeight="1">
      <c r="G141" s="1"/>
    </row>
    <row r="142" ht="12.75" customHeight="1">
      <c r="G142" s="1"/>
    </row>
    <row r="143" ht="12.75" customHeight="1">
      <c r="G143" s="1"/>
    </row>
    <row r="144" ht="12.75" customHeight="1">
      <c r="G144" s="1"/>
    </row>
    <row r="145" ht="12.75" customHeight="1">
      <c r="G145" s="1"/>
    </row>
    <row r="146" ht="12.75" customHeight="1">
      <c r="G146" s="1"/>
    </row>
    <row r="147" ht="12.75" customHeight="1">
      <c r="G147" s="1"/>
    </row>
    <row r="148" ht="12.75" customHeight="1">
      <c r="G148" s="1"/>
    </row>
    <row r="149" ht="12.75" customHeight="1">
      <c r="G149" s="1"/>
    </row>
    <row r="150" ht="12.75" customHeight="1">
      <c r="G150" s="1"/>
    </row>
    <row r="151" ht="12.75" customHeight="1">
      <c r="G151" s="1"/>
    </row>
    <row r="152" ht="12.75" customHeight="1">
      <c r="G152" s="1"/>
    </row>
    <row r="153" ht="12.75" customHeight="1">
      <c r="G153" s="1"/>
    </row>
    <row r="154" ht="12.75" customHeight="1">
      <c r="G154" s="1"/>
    </row>
    <row r="155" ht="12.75" customHeight="1">
      <c r="G155" s="1"/>
    </row>
    <row r="156" ht="12.75" customHeight="1">
      <c r="G156" s="1"/>
    </row>
    <row r="157" ht="12.75" customHeight="1">
      <c r="G157" s="1"/>
    </row>
    <row r="158" ht="12.75" customHeight="1">
      <c r="G158" s="1"/>
    </row>
    <row r="159" ht="12.75" customHeight="1">
      <c r="G159" s="1"/>
    </row>
    <row r="160" ht="12.75" customHeight="1">
      <c r="G160" s="1"/>
    </row>
    <row r="161" ht="12.75" customHeight="1">
      <c r="G161" s="1"/>
    </row>
    <row r="162" ht="12.75" customHeight="1">
      <c r="G162" s="1"/>
    </row>
    <row r="163" ht="12.75" customHeight="1">
      <c r="G163" s="1"/>
    </row>
    <row r="164" ht="12.75" customHeight="1">
      <c r="G164" s="1"/>
    </row>
    <row r="165" ht="12.75" customHeight="1">
      <c r="G165" s="1"/>
    </row>
    <row r="166" ht="12.75" customHeight="1">
      <c r="G166" s="1"/>
    </row>
    <row r="167" ht="12.75" customHeight="1">
      <c r="G167" s="1"/>
    </row>
    <row r="168" ht="12.75" customHeight="1">
      <c r="G168" s="1"/>
    </row>
    <row r="169" ht="12.75" customHeight="1">
      <c r="G169" s="1"/>
    </row>
    <row r="170" ht="12.75" customHeight="1">
      <c r="G170" s="1"/>
    </row>
    <row r="171" ht="12.75" customHeight="1">
      <c r="G171" s="1"/>
    </row>
    <row r="172" ht="12.75" customHeight="1">
      <c r="G172" s="1"/>
    </row>
    <row r="173" ht="12.75" customHeight="1">
      <c r="G173" s="1"/>
    </row>
    <row r="174" ht="12.75" customHeight="1">
      <c r="G174" s="1"/>
    </row>
    <row r="175" ht="12.75" customHeight="1">
      <c r="G175" s="1"/>
    </row>
    <row r="176" ht="12.75" customHeight="1">
      <c r="G176" s="1"/>
    </row>
    <row r="177" ht="12.75" customHeight="1">
      <c r="G177" s="1"/>
    </row>
    <row r="178" ht="12.75" customHeight="1">
      <c r="G178" s="1"/>
    </row>
    <row r="179" ht="12.75" customHeight="1">
      <c r="G179" s="1"/>
    </row>
    <row r="180" ht="12.75" customHeight="1">
      <c r="G180" s="1"/>
    </row>
    <row r="181" ht="12.75" customHeight="1">
      <c r="G181" s="1"/>
    </row>
    <row r="182" ht="12.75" customHeight="1">
      <c r="G182" s="1"/>
    </row>
    <row r="183" ht="12.75" customHeight="1">
      <c r="G183" s="1"/>
    </row>
    <row r="184" ht="12.75" customHeight="1">
      <c r="G184" s="1"/>
    </row>
    <row r="185" ht="12.75" customHeight="1">
      <c r="G185" s="1"/>
    </row>
    <row r="186" ht="12.75" customHeight="1">
      <c r="G186" s="1"/>
    </row>
    <row r="187" ht="12.75" customHeight="1">
      <c r="G187" s="1"/>
    </row>
    <row r="188" ht="12.75" customHeight="1">
      <c r="G188" s="1"/>
    </row>
    <row r="189" ht="12.75" customHeight="1">
      <c r="G189" s="1"/>
    </row>
    <row r="190" ht="12.75" customHeight="1">
      <c r="G190" s="1"/>
    </row>
    <row r="191" ht="12.75" customHeight="1">
      <c r="G191" s="1"/>
    </row>
    <row r="192" ht="12.75" customHeight="1">
      <c r="G192" s="1"/>
    </row>
    <row r="193" ht="12.75" customHeight="1">
      <c r="G193" s="1"/>
    </row>
    <row r="194" ht="12.75" customHeight="1">
      <c r="G194" s="1"/>
    </row>
    <row r="195" ht="12.75" customHeight="1">
      <c r="G195" s="1"/>
    </row>
    <row r="196" ht="12.75" customHeight="1">
      <c r="G196" s="1"/>
    </row>
    <row r="197" ht="12.75" customHeight="1">
      <c r="G197" s="1"/>
    </row>
    <row r="198" ht="12.75" customHeight="1">
      <c r="G198" s="1"/>
    </row>
    <row r="199" ht="12.75" customHeight="1">
      <c r="G199" s="1"/>
    </row>
    <row r="200" ht="12.75" customHeight="1">
      <c r="G200" s="1"/>
    </row>
    <row r="201" ht="12.75" customHeight="1">
      <c r="G201" s="1"/>
    </row>
    <row r="202" ht="12.75" customHeight="1">
      <c r="G202" s="1"/>
    </row>
    <row r="203" ht="12.75" customHeight="1">
      <c r="G203" s="1"/>
    </row>
    <row r="204" ht="12.75" customHeight="1">
      <c r="G204" s="1"/>
    </row>
    <row r="205" ht="12.75" customHeight="1">
      <c r="G205" s="1"/>
    </row>
    <row r="206" ht="12.75" customHeight="1">
      <c r="G206" s="1"/>
    </row>
    <row r="207" ht="12.75" customHeight="1">
      <c r="G207" s="1"/>
    </row>
    <row r="208" ht="12.75" customHeight="1">
      <c r="G208" s="1"/>
    </row>
    <row r="209" ht="12.75" customHeight="1">
      <c r="G209" s="1"/>
    </row>
    <row r="210" ht="12.75" customHeight="1">
      <c r="G210" s="1"/>
    </row>
    <row r="211" ht="12.75" customHeight="1">
      <c r="G211" s="1"/>
    </row>
    <row r="212" ht="12.75" customHeight="1">
      <c r="G212" s="1"/>
    </row>
    <row r="213" ht="12.75" customHeight="1">
      <c r="G213" s="1"/>
    </row>
    <row r="214" ht="12.75" customHeight="1">
      <c r="G214" s="1"/>
    </row>
    <row r="215" ht="12.75" customHeight="1">
      <c r="G215" s="1"/>
    </row>
    <row r="216" ht="12.75" customHeight="1">
      <c r="A216" s="1"/>
      <c r="B216" s="1"/>
      <c r="C216" s="1"/>
      <c r="D216" s="1"/>
      <c r="E216" s="1"/>
      <c r="F216" s="1"/>
      <c r="G216" s="1"/>
    </row>
    <row r="217" ht="12.75" customHeight="1">
      <c r="A217" s="1"/>
      <c r="B217" s="1"/>
      <c r="C217" s="1"/>
      <c r="D217" s="1"/>
      <c r="E217" s="1"/>
      <c r="F217" s="1"/>
      <c r="G217" s="1"/>
    </row>
    <row r="218" ht="12.75" customHeight="1">
      <c r="A218" s="1"/>
      <c r="B218" s="1"/>
      <c r="C218" s="1"/>
      <c r="D218" s="1"/>
      <c r="E218" s="1"/>
      <c r="F218" s="1"/>
      <c r="G218" s="1"/>
    </row>
    <row r="219" ht="12.75" customHeight="1">
      <c r="A219" s="1"/>
      <c r="B219" s="1"/>
      <c r="C219" s="1"/>
      <c r="D219" s="1"/>
      <c r="E219" s="1"/>
      <c r="F219" s="1"/>
      <c r="G219" s="1"/>
    </row>
    <row r="220" ht="12.75" customHeight="1">
      <c r="A220" s="1"/>
      <c r="B220" s="1"/>
      <c r="C220" s="1"/>
      <c r="D220" s="1"/>
      <c r="E220" s="1"/>
      <c r="F220" s="1"/>
      <c r="G220" s="1"/>
    </row>
    <row r="221" ht="12.75" customHeight="1">
      <c r="A221" s="1"/>
      <c r="B221" s="1"/>
      <c r="C221" s="1"/>
      <c r="D221" s="1"/>
      <c r="E221" s="1"/>
      <c r="F221" s="1"/>
      <c r="G221" s="1"/>
    </row>
    <row r="222" ht="12.75" customHeight="1">
      <c r="A222" s="1"/>
      <c r="B222" s="1"/>
      <c r="C222" s="1"/>
      <c r="D222" s="1"/>
      <c r="E222" s="1"/>
      <c r="F222" s="1"/>
      <c r="G222" s="1"/>
    </row>
    <row r="223" ht="12.75" customHeight="1">
      <c r="A223" s="1"/>
      <c r="B223" s="1"/>
      <c r="C223" s="1"/>
      <c r="D223" s="1"/>
      <c r="E223" s="1"/>
      <c r="F223" s="1"/>
      <c r="G223" s="1"/>
    </row>
    <row r="224" ht="12.75" customHeight="1">
      <c r="A224" s="1"/>
      <c r="B224" s="1"/>
      <c r="C224" s="1"/>
      <c r="D224" s="1"/>
      <c r="E224" s="1"/>
      <c r="F224" s="1"/>
      <c r="G224" s="1"/>
    </row>
    <row r="225" ht="12.75" customHeight="1">
      <c r="A225" s="1"/>
      <c r="B225" s="1"/>
      <c r="C225" s="1"/>
      <c r="D225" s="1"/>
      <c r="E225" s="1"/>
      <c r="F225" s="1"/>
      <c r="G225" s="1"/>
    </row>
    <row r="226" ht="12.75" customHeight="1">
      <c r="A226" s="1"/>
      <c r="B226" s="1"/>
      <c r="C226" s="1"/>
      <c r="D226" s="1"/>
      <c r="E226" s="1"/>
      <c r="F226" s="1"/>
      <c r="G226" s="1"/>
    </row>
    <row r="227" ht="12.75" customHeight="1">
      <c r="A227" s="1"/>
      <c r="B227" s="1"/>
      <c r="C227" s="1"/>
      <c r="D227" s="1"/>
      <c r="E227" s="1"/>
      <c r="F227" s="1"/>
      <c r="G227" s="1"/>
    </row>
    <row r="228" ht="12.75" customHeight="1">
      <c r="A228" s="1"/>
      <c r="B228" s="1"/>
      <c r="C228" s="1"/>
      <c r="D228" s="1"/>
      <c r="E228" s="1"/>
      <c r="F228" s="1"/>
      <c r="G228" s="1"/>
    </row>
    <row r="229" ht="12.75" customHeight="1">
      <c r="A229" s="1"/>
      <c r="B229" s="1"/>
      <c r="C229" s="1"/>
      <c r="D229" s="1"/>
      <c r="E229" s="1"/>
      <c r="F229" s="1"/>
      <c r="G229" s="1"/>
    </row>
    <row r="230" ht="12.75" customHeight="1">
      <c r="A230" s="1"/>
      <c r="B230" s="1"/>
      <c r="C230" s="1"/>
      <c r="D230" s="1"/>
      <c r="E230" s="1"/>
      <c r="F230" s="1"/>
      <c r="G230" s="1"/>
    </row>
    <row r="231" ht="12.75" customHeight="1">
      <c r="A231" s="1"/>
      <c r="B231" s="1"/>
      <c r="C231" s="1"/>
      <c r="D231" s="1"/>
      <c r="E231" s="1"/>
      <c r="F231" s="1"/>
      <c r="G231" s="1"/>
    </row>
    <row r="232" ht="12.75" customHeight="1">
      <c r="A232" s="1"/>
      <c r="B232" s="1"/>
      <c r="C232" s="1"/>
      <c r="D232" s="1"/>
      <c r="E232" s="1"/>
      <c r="F232" s="1"/>
      <c r="G232" s="1"/>
    </row>
    <row r="233" ht="12.75" customHeight="1">
      <c r="A233" s="1"/>
      <c r="B233" s="1"/>
      <c r="C233" s="1"/>
      <c r="D233" s="1"/>
      <c r="E233" s="1"/>
      <c r="F233" s="1"/>
      <c r="G233" s="1"/>
    </row>
    <row r="234" ht="12.75" customHeight="1">
      <c r="A234" s="1"/>
      <c r="B234" s="1"/>
      <c r="C234" s="1"/>
      <c r="D234" s="1"/>
      <c r="E234" s="1"/>
      <c r="F234" s="1"/>
      <c r="G234" s="1"/>
    </row>
    <row r="235" ht="12.75" customHeight="1">
      <c r="A235" s="1"/>
      <c r="B235" s="1"/>
      <c r="C235" s="1"/>
      <c r="D235" s="1"/>
      <c r="E235" s="1"/>
      <c r="F235" s="1"/>
      <c r="G235" s="1"/>
    </row>
    <row r="236" ht="12.75" customHeight="1">
      <c r="A236" s="1"/>
      <c r="B236" s="1"/>
      <c r="C236" s="1"/>
      <c r="D236" s="1"/>
      <c r="E236" s="1"/>
      <c r="F236" s="1"/>
      <c r="G236" s="1"/>
    </row>
    <row r="237" ht="12.75" customHeight="1">
      <c r="A237" s="1"/>
      <c r="B237" s="1"/>
      <c r="C237" s="1"/>
      <c r="D237" s="1"/>
      <c r="E237" s="1"/>
      <c r="F237" s="1"/>
      <c r="G237" s="1"/>
    </row>
    <row r="238" ht="12.75" customHeight="1">
      <c r="A238" s="1"/>
      <c r="B238" s="1"/>
      <c r="C238" s="1"/>
      <c r="D238" s="1"/>
      <c r="E238" s="1"/>
      <c r="F238" s="1"/>
      <c r="G238" s="1"/>
    </row>
    <row r="239" ht="12.75" customHeight="1">
      <c r="A239" s="1"/>
      <c r="B239" s="1"/>
      <c r="C239" s="1"/>
      <c r="D239" s="1"/>
      <c r="E239" s="1"/>
      <c r="F239" s="1"/>
      <c r="G239" s="1"/>
    </row>
    <row r="240" ht="12.75" customHeight="1">
      <c r="A240" s="1"/>
      <c r="B240" s="1"/>
      <c r="C240" s="1"/>
      <c r="D240" s="1"/>
      <c r="E240" s="1"/>
      <c r="F240" s="1"/>
      <c r="G240" s="1"/>
    </row>
    <row r="241" ht="12.75" customHeight="1">
      <c r="A241" s="1"/>
      <c r="B241" s="1"/>
      <c r="C241" s="1"/>
      <c r="D241" s="1"/>
      <c r="E241" s="1"/>
      <c r="F241" s="1"/>
      <c r="G241" s="1"/>
    </row>
    <row r="242" ht="12.75" customHeight="1">
      <c r="A242" s="1"/>
      <c r="B242" s="1"/>
      <c r="C242" s="1"/>
      <c r="D242" s="1"/>
      <c r="E242" s="1"/>
      <c r="F242" s="1"/>
      <c r="G242" s="1"/>
    </row>
    <row r="243" ht="12.75" customHeight="1">
      <c r="A243" s="1"/>
      <c r="B243" s="1"/>
      <c r="C243" s="1"/>
      <c r="D243" s="1"/>
      <c r="E243" s="1"/>
      <c r="F243" s="1"/>
      <c r="G243" s="1"/>
    </row>
    <row r="244" ht="12.75" customHeight="1">
      <c r="A244" s="1"/>
      <c r="B244" s="1"/>
      <c r="C244" s="1"/>
      <c r="D244" s="1"/>
      <c r="E244" s="1"/>
      <c r="F244" s="1"/>
      <c r="G244" s="1"/>
    </row>
    <row r="245" ht="12.75" customHeight="1">
      <c r="A245" s="1"/>
      <c r="B245" s="1"/>
      <c r="C245" s="1"/>
      <c r="D245" s="1"/>
      <c r="E245" s="1"/>
      <c r="F245" s="1"/>
      <c r="G245" s="1"/>
    </row>
    <row r="246" ht="12.75" customHeight="1">
      <c r="A246" s="1"/>
      <c r="B246" s="1"/>
      <c r="C246" s="1"/>
      <c r="D246" s="1"/>
      <c r="E246" s="1"/>
      <c r="F246" s="1"/>
      <c r="G246" s="1"/>
    </row>
    <row r="247" ht="12.75" customHeight="1">
      <c r="A247" s="1"/>
      <c r="B247" s="1"/>
      <c r="C247" s="1"/>
      <c r="D247" s="1"/>
      <c r="E247" s="1"/>
      <c r="F247" s="1"/>
      <c r="G247" s="1"/>
    </row>
    <row r="248" ht="12.75" customHeight="1">
      <c r="A248" s="1"/>
      <c r="B248" s="1"/>
      <c r="C248" s="1"/>
      <c r="D248" s="1"/>
      <c r="E248" s="1"/>
      <c r="F248" s="1"/>
      <c r="G248" s="1"/>
    </row>
    <row r="249" ht="12.75" customHeight="1">
      <c r="A249" s="1"/>
      <c r="B249" s="1"/>
      <c r="C249" s="1"/>
      <c r="D249" s="1"/>
      <c r="E249" s="1"/>
      <c r="F249" s="1"/>
      <c r="G249" s="1"/>
    </row>
    <row r="250" ht="12.75" customHeight="1">
      <c r="A250" s="1"/>
      <c r="B250" s="1"/>
      <c r="C250" s="1"/>
      <c r="D250" s="1"/>
      <c r="E250" s="1"/>
      <c r="F250" s="1"/>
      <c r="G250" s="1"/>
    </row>
    <row r="251" ht="12.75" customHeight="1">
      <c r="A251" s="1"/>
      <c r="B251" s="1"/>
      <c r="C251" s="1"/>
      <c r="D251" s="1"/>
      <c r="E251" s="1"/>
      <c r="F251" s="1"/>
      <c r="G251" s="1"/>
    </row>
    <row r="252" ht="12.75" customHeight="1">
      <c r="A252" s="1"/>
      <c r="B252" s="1"/>
      <c r="C252" s="1"/>
      <c r="D252" s="1"/>
      <c r="E252" s="1"/>
      <c r="F252" s="1"/>
      <c r="G252" s="1"/>
    </row>
    <row r="253" ht="12.75" customHeight="1">
      <c r="A253" s="1"/>
      <c r="B253" s="1"/>
      <c r="C253" s="1"/>
      <c r="D253" s="1"/>
      <c r="E253" s="1"/>
      <c r="F253" s="1"/>
      <c r="G253" s="1"/>
    </row>
    <row r="254" ht="12.75" customHeight="1">
      <c r="A254" s="1"/>
      <c r="B254" s="1"/>
      <c r="C254" s="1"/>
      <c r="D254" s="1"/>
      <c r="E254" s="1"/>
      <c r="F254" s="1"/>
      <c r="G254" s="1"/>
    </row>
    <row r="255" ht="12.75" customHeight="1">
      <c r="A255" s="1"/>
      <c r="B255" s="1"/>
      <c r="C255" s="1"/>
      <c r="D255" s="1"/>
      <c r="E255" s="1"/>
      <c r="F255" s="1"/>
      <c r="G255" s="1"/>
    </row>
    <row r="256" ht="12.75" customHeight="1">
      <c r="A256" s="1"/>
      <c r="B256" s="1"/>
      <c r="C256" s="1"/>
      <c r="D256" s="1"/>
      <c r="E256" s="1"/>
      <c r="F256" s="1"/>
      <c r="G256" s="1"/>
    </row>
    <row r="257" ht="12.75" customHeight="1">
      <c r="A257" s="1"/>
      <c r="B257" s="1"/>
      <c r="C257" s="1"/>
      <c r="D257" s="1"/>
      <c r="E257" s="1"/>
      <c r="F257" s="1"/>
      <c r="G257" s="1"/>
    </row>
    <row r="258" ht="12.75" customHeight="1">
      <c r="A258" s="1"/>
      <c r="B258" s="1"/>
      <c r="C258" s="1"/>
      <c r="D258" s="1"/>
      <c r="E258" s="1"/>
      <c r="F258" s="1"/>
      <c r="G258" s="1"/>
    </row>
    <row r="259" ht="12.75" customHeight="1">
      <c r="A259" s="1"/>
      <c r="B259" s="1"/>
      <c r="C259" s="1"/>
      <c r="D259" s="1"/>
      <c r="E259" s="1"/>
      <c r="F259" s="1"/>
      <c r="G259" s="1"/>
    </row>
    <row r="260" ht="12.75" customHeight="1">
      <c r="A260" s="1"/>
      <c r="B260" s="1"/>
      <c r="C260" s="1"/>
      <c r="D260" s="1"/>
      <c r="E260" s="1"/>
      <c r="F260" s="1"/>
      <c r="G260" s="1"/>
    </row>
    <row r="261" ht="12.75" customHeight="1">
      <c r="A261" s="1"/>
      <c r="B261" s="1"/>
      <c r="C261" s="1"/>
      <c r="D261" s="1"/>
      <c r="E261" s="1"/>
      <c r="F261" s="1"/>
      <c r="G261" s="1"/>
    </row>
    <row r="262" ht="12.75" customHeight="1">
      <c r="A262" s="1"/>
      <c r="B262" s="1"/>
      <c r="C262" s="1"/>
      <c r="D262" s="1"/>
      <c r="E262" s="1"/>
      <c r="F262" s="1"/>
      <c r="G262" s="1"/>
    </row>
    <row r="263" ht="12.75" customHeight="1">
      <c r="A263" s="1"/>
      <c r="B263" s="1"/>
      <c r="C263" s="1"/>
      <c r="D263" s="1"/>
      <c r="E263" s="1"/>
      <c r="F263" s="1"/>
      <c r="G263" s="1"/>
    </row>
    <row r="264" ht="12.75" customHeight="1">
      <c r="A264" s="1"/>
      <c r="B264" s="1"/>
      <c r="C264" s="1"/>
      <c r="D264" s="1"/>
      <c r="E264" s="1"/>
      <c r="F264" s="1"/>
      <c r="G264" s="1"/>
    </row>
    <row r="265" ht="12.75" customHeight="1">
      <c r="A265" s="1"/>
      <c r="B265" s="1"/>
      <c r="C265" s="1"/>
      <c r="D265" s="1"/>
      <c r="E265" s="1"/>
      <c r="F265" s="1"/>
      <c r="G265" s="1"/>
    </row>
    <row r="266" ht="12.75" customHeight="1">
      <c r="A266" s="1"/>
      <c r="B266" s="1"/>
      <c r="C266" s="1"/>
      <c r="D266" s="1"/>
      <c r="E266" s="1"/>
      <c r="F266" s="1"/>
      <c r="G266" s="1"/>
    </row>
    <row r="267" ht="12.75" customHeight="1">
      <c r="A267" s="1"/>
      <c r="B267" s="1"/>
      <c r="C267" s="1"/>
      <c r="D267" s="1"/>
      <c r="E267" s="1"/>
      <c r="F267" s="1"/>
      <c r="G267" s="1"/>
    </row>
    <row r="268" ht="12.75" customHeight="1">
      <c r="A268" s="1"/>
      <c r="B268" s="1"/>
      <c r="C268" s="1"/>
      <c r="D268" s="1"/>
      <c r="E268" s="1"/>
      <c r="F268" s="1"/>
      <c r="G268" s="1"/>
    </row>
    <row r="269" ht="12.75" customHeight="1">
      <c r="A269" s="1"/>
      <c r="B269" s="1"/>
      <c r="C269" s="1"/>
      <c r="D269" s="1"/>
      <c r="E269" s="1"/>
      <c r="F269" s="1"/>
      <c r="G269" s="1"/>
    </row>
    <row r="270" ht="12.75" customHeight="1">
      <c r="A270" s="1"/>
      <c r="B270" s="1"/>
      <c r="C270" s="1"/>
      <c r="D270" s="1"/>
      <c r="E270" s="1"/>
      <c r="F270" s="1"/>
      <c r="G270" s="1"/>
    </row>
    <row r="271" ht="12.75" customHeight="1">
      <c r="A271" s="1"/>
      <c r="B271" s="1"/>
      <c r="C271" s="1"/>
      <c r="D271" s="1"/>
      <c r="E271" s="1"/>
      <c r="F271" s="1"/>
      <c r="G271" s="1"/>
    </row>
    <row r="272" ht="12.75" customHeight="1">
      <c r="A272" s="1"/>
      <c r="B272" s="1"/>
      <c r="C272" s="1"/>
      <c r="D272" s="1"/>
      <c r="E272" s="1"/>
      <c r="F272" s="1"/>
      <c r="G272" s="1"/>
    </row>
    <row r="273" ht="12.75" customHeight="1">
      <c r="A273" s="1"/>
      <c r="B273" s="1"/>
      <c r="C273" s="1"/>
      <c r="D273" s="1"/>
      <c r="E273" s="1"/>
      <c r="F273" s="1"/>
      <c r="G273" s="1"/>
    </row>
    <row r="274" ht="12.75" customHeight="1">
      <c r="A274" s="1"/>
      <c r="B274" s="1"/>
      <c r="C274" s="1"/>
      <c r="D274" s="1"/>
      <c r="E274" s="1"/>
      <c r="F274" s="1"/>
      <c r="G274" s="1"/>
    </row>
    <row r="275" ht="12.75" customHeight="1">
      <c r="A275" s="1"/>
      <c r="B275" s="1"/>
      <c r="C275" s="1"/>
      <c r="D275" s="1"/>
      <c r="E275" s="1"/>
      <c r="F275" s="1"/>
      <c r="G275" s="1"/>
    </row>
    <row r="276" ht="12.75" customHeight="1">
      <c r="A276" s="1"/>
      <c r="B276" s="1"/>
      <c r="C276" s="1"/>
      <c r="D276" s="1"/>
      <c r="E276" s="1"/>
      <c r="F276" s="1"/>
      <c r="G276" s="1"/>
    </row>
    <row r="277" ht="12.75" customHeight="1">
      <c r="A277" s="1"/>
      <c r="B277" s="1"/>
      <c r="C277" s="1"/>
      <c r="D277" s="1"/>
      <c r="E277" s="1"/>
      <c r="F277" s="1"/>
      <c r="G277" s="1"/>
    </row>
    <row r="278" ht="12.75" customHeight="1">
      <c r="A278" s="1"/>
      <c r="B278" s="1"/>
      <c r="C278" s="1"/>
      <c r="D278" s="1"/>
      <c r="E278" s="1"/>
      <c r="F278" s="1"/>
      <c r="G278" s="1"/>
    </row>
    <row r="279" ht="12.75" customHeight="1">
      <c r="A279" s="1"/>
      <c r="B279" s="1"/>
      <c r="C279" s="1"/>
      <c r="D279" s="1"/>
      <c r="E279" s="1"/>
      <c r="F279" s="1"/>
      <c r="G279" s="1"/>
    </row>
    <row r="280" ht="12.75" customHeight="1">
      <c r="A280" s="1"/>
      <c r="B280" s="1"/>
      <c r="C280" s="1"/>
      <c r="D280" s="1"/>
      <c r="E280" s="1"/>
      <c r="F280" s="1"/>
      <c r="G280" s="1"/>
    </row>
    <row r="281" ht="12.75" customHeight="1">
      <c r="A281" s="1"/>
      <c r="B281" s="1"/>
      <c r="C281" s="1"/>
      <c r="D281" s="1"/>
      <c r="E281" s="1"/>
      <c r="F281" s="1"/>
      <c r="G281" s="1"/>
    </row>
    <row r="282" ht="12.75" customHeight="1">
      <c r="A282" s="1"/>
      <c r="B282" s="1"/>
      <c r="C282" s="1"/>
      <c r="D282" s="1"/>
      <c r="E282" s="1"/>
      <c r="F282" s="1"/>
      <c r="G282" s="1"/>
    </row>
    <row r="283" ht="12.75" customHeight="1">
      <c r="A283" s="1"/>
      <c r="B283" s="1"/>
      <c r="C283" s="1"/>
      <c r="D283" s="1"/>
      <c r="E283" s="1"/>
      <c r="F283" s="1"/>
      <c r="G283" s="1"/>
    </row>
    <row r="284" ht="12.75" customHeight="1">
      <c r="A284" s="1"/>
      <c r="B284" s="1"/>
      <c r="C284" s="1"/>
      <c r="D284" s="1"/>
      <c r="E284" s="1"/>
      <c r="F284" s="1"/>
      <c r="G284" s="1"/>
    </row>
    <row r="285" ht="12.75" customHeight="1">
      <c r="A285" s="1"/>
      <c r="B285" s="1"/>
      <c r="C285" s="1"/>
      <c r="D285" s="1"/>
      <c r="E285" s="1"/>
      <c r="F285" s="1"/>
      <c r="G285" s="1"/>
    </row>
    <row r="286" ht="12.75" customHeight="1">
      <c r="A286" s="1"/>
      <c r="B286" s="1"/>
      <c r="C286" s="1"/>
      <c r="D286" s="1"/>
      <c r="E286" s="1"/>
      <c r="F286" s="1"/>
      <c r="G286" s="1"/>
    </row>
    <row r="287" ht="12.75" customHeight="1">
      <c r="A287" s="1"/>
      <c r="B287" s="1"/>
      <c r="C287" s="1"/>
      <c r="D287" s="1"/>
      <c r="E287" s="1"/>
      <c r="F287" s="1"/>
      <c r="G287" s="1"/>
    </row>
    <row r="288" ht="12.75" customHeight="1">
      <c r="A288" s="1"/>
      <c r="B288" s="1"/>
      <c r="C288" s="1"/>
      <c r="D288" s="1"/>
      <c r="E288" s="1"/>
      <c r="F288" s="1"/>
      <c r="G288" s="1"/>
    </row>
    <row r="289" ht="12.75" customHeight="1">
      <c r="A289" s="1"/>
      <c r="B289" s="1"/>
      <c r="C289" s="1"/>
      <c r="D289" s="1"/>
      <c r="E289" s="1"/>
      <c r="F289" s="1"/>
      <c r="G289" s="1"/>
    </row>
    <row r="290" ht="12.75" customHeight="1">
      <c r="A290" s="1"/>
      <c r="B290" s="1"/>
      <c r="C290" s="1"/>
      <c r="D290" s="1"/>
      <c r="E290" s="1"/>
      <c r="F290" s="1"/>
      <c r="G290" s="1"/>
    </row>
    <row r="291" ht="12.75" customHeight="1">
      <c r="A291" s="1"/>
      <c r="B291" s="1"/>
      <c r="C291" s="1"/>
      <c r="D291" s="1"/>
      <c r="E291" s="1"/>
      <c r="F291" s="1"/>
      <c r="G291" s="1"/>
    </row>
    <row r="292" ht="12.75" customHeight="1">
      <c r="A292" s="1"/>
      <c r="B292" s="1"/>
      <c r="C292" s="1"/>
      <c r="D292" s="1"/>
      <c r="E292" s="1"/>
      <c r="F292" s="1"/>
      <c r="G292" s="1"/>
    </row>
    <row r="293" ht="12.75" customHeight="1">
      <c r="A293" s="1"/>
      <c r="B293" s="1"/>
      <c r="C293" s="1"/>
      <c r="D293" s="1"/>
      <c r="E293" s="1"/>
      <c r="F293" s="1"/>
      <c r="G293" s="1"/>
    </row>
    <row r="294" ht="12.75" customHeight="1">
      <c r="A294" s="1"/>
      <c r="B294" s="1"/>
      <c r="C294" s="1"/>
      <c r="D294" s="1"/>
      <c r="E294" s="1"/>
      <c r="F294" s="1"/>
      <c r="G294" s="1"/>
    </row>
    <row r="295" ht="12.75" customHeight="1">
      <c r="A295" s="1"/>
      <c r="B295" s="1"/>
      <c r="C295" s="1"/>
      <c r="D295" s="1"/>
      <c r="E295" s="1"/>
      <c r="F295" s="1"/>
      <c r="G295" s="1"/>
    </row>
    <row r="296" ht="12.75" customHeight="1">
      <c r="A296" s="1"/>
      <c r="B296" s="1"/>
      <c r="C296" s="1"/>
      <c r="D296" s="1"/>
      <c r="E296" s="1"/>
      <c r="F296" s="1"/>
      <c r="G296" s="1"/>
    </row>
    <row r="297" ht="12.75" customHeight="1">
      <c r="A297" s="1"/>
      <c r="B297" s="1"/>
      <c r="C297" s="1"/>
      <c r="D297" s="1"/>
      <c r="E297" s="1"/>
      <c r="F297" s="1"/>
      <c r="G297" s="1"/>
    </row>
    <row r="298" ht="12.75" customHeight="1">
      <c r="A298" s="1"/>
      <c r="B298" s="1"/>
      <c r="C298" s="1"/>
      <c r="D298" s="1"/>
      <c r="E298" s="1"/>
      <c r="F298" s="1"/>
      <c r="G298" s="1"/>
    </row>
    <row r="299" ht="12.75" customHeight="1">
      <c r="A299" s="1"/>
      <c r="B299" s="1"/>
      <c r="C299" s="1"/>
      <c r="D299" s="1"/>
      <c r="E299" s="1"/>
      <c r="F299" s="1"/>
      <c r="G299" s="1"/>
    </row>
    <row r="300" ht="12.75" customHeight="1">
      <c r="A300" s="1"/>
      <c r="B300" s="1"/>
      <c r="C300" s="1"/>
      <c r="D300" s="1"/>
      <c r="E300" s="1"/>
      <c r="F300" s="1"/>
      <c r="G300" s="1"/>
    </row>
    <row r="301" ht="12.75" customHeight="1">
      <c r="A301" s="1"/>
      <c r="B301" s="1"/>
      <c r="C301" s="1"/>
      <c r="D301" s="1"/>
      <c r="E301" s="1"/>
      <c r="F301" s="1"/>
      <c r="G301" s="1"/>
    </row>
    <row r="302" ht="12.75" customHeight="1">
      <c r="A302" s="1"/>
      <c r="B302" s="1"/>
      <c r="C302" s="1"/>
      <c r="D302" s="1"/>
      <c r="E302" s="1"/>
      <c r="F302" s="1"/>
      <c r="G302" s="1"/>
    </row>
    <row r="303" ht="12.75" customHeight="1">
      <c r="A303" s="1"/>
      <c r="B303" s="1"/>
      <c r="C303" s="1"/>
      <c r="D303" s="1"/>
      <c r="E303" s="1"/>
      <c r="F303" s="1"/>
      <c r="G303" s="1"/>
    </row>
    <row r="304" ht="12.75" customHeight="1">
      <c r="A304" s="1"/>
      <c r="B304" s="1"/>
      <c r="C304" s="1"/>
      <c r="D304" s="1"/>
      <c r="E304" s="1"/>
      <c r="F304" s="1"/>
      <c r="G304" s="1"/>
    </row>
    <row r="305" ht="12.75" customHeight="1">
      <c r="A305" s="1"/>
      <c r="B305" s="1"/>
      <c r="C305" s="1"/>
      <c r="D305" s="1"/>
      <c r="E305" s="1"/>
      <c r="F305" s="1"/>
      <c r="G305" s="1"/>
    </row>
    <row r="306" ht="12.75" customHeight="1">
      <c r="A306" s="1"/>
      <c r="B306" s="1"/>
      <c r="C306" s="1"/>
      <c r="D306" s="1"/>
      <c r="E306" s="1"/>
      <c r="F306" s="1"/>
      <c r="G306" s="1"/>
    </row>
    <row r="307" ht="12.75" customHeight="1">
      <c r="A307" s="1"/>
      <c r="B307" s="1"/>
      <c r="C307" s="1"/>
      <c r="D307" s="1"/>
      <c r="E307" s="1"/>
      <c r="F307" s="1"/>
      <c r="G307" s="1"/>
    </row>
    <row r="308" ht="12.75" customHeight="1">
      <c r="A308" s="1"/>
      <c r="B308" s="1"/>
      <c r="C308" s="1"/>
      <c r="D308" s="1"/>
      <c r="E308" s="1"/>
      <c r="F308" s="1"/>
      <c r="G308" s="1"/>
    </row>
    <row r="309" ht="12.75" customHeight="1">
      <c r="A309" s="1"/>
      <c r="B309" s="1"/>
      <c r="C309" s="1"/>
      <c r="D309" s="1"/>
      <c r="E309" s="1"/>
      <c r="F309" s="1"/>
      <c r="G309" s="1"/>
    </row>
    <row r="310" ht="12.75" customHeight="1">
      <c r="A310" s="1"/>
      <c r="B310" s="1"/>
      <c r="C310" s="1"/>
      <c r="D310" s="1"/>
      <c r="E310" s="1"/>
      <c r="F310" s="1"/>
      <c r="G310" s="1"/>
    </row>
    <row r="311" ht="12.75" customHeight="1">
      <c r="A311" s="1"/>
      <c r="B311" s="1"/>
      <c r="C311" s="1"/>
      <c r="D311" s="1"/>
      <c r="E311" s="1"/>
      <c r="F311" s="1"/>
      <c r="G311" s="1"/>
    </row>
    <row r="312" ht="12.75" customHeight="1">
      <c r="A312" s="1"/>
      <c r="B312" s="1"/>
      <c r="C312" s="1"/>
      <c r="D312" s="1"/>
      <c r="E312" s="1"/>
      <c r="F312" s="1"/>
      <c r="G312" s="1"/>
    </row>
    <row r="313" ht="12.75" customHeight="1">
      <c r="A313" s="1"/>
      <c r="B313" s="1"/>
      <c r="C313" s="1"/>
      <c r="D313" s="1"/>
      <c r="E313" s="1"/>
      <c r="F313" s="1"/>
      <c r="G313" s="1"/>
    </row>
    <row r="314" ht="12.75" customHeight="1">
      <c r="A314" s="1"/>
      <c r="B314" s="1"/>
      <c r="C314" s="1"/>
      <c r="D314" s="1"/>
      <c r="E314" s="1"/>
      <c r="F314" s="1"/>
      <c r="G314" s="1"/>
    </row>
    <row r="315" ht="12.75" customHeight="1">
      <c r="A315" s="1"/>
      <c r="B315" s="1"/>
      <c r="C315" s="1"/>
      <c r="D315" s="1"/>
      <c r="E315" s="1"/>
      <c r="F315" s="1"/>
      <c r="G315" s="1"/>
    </row>
    <row r="316" ht="12.75" customHeight="1">
      <c r="A316" s="1"/>
      <c r="B316" s="1"/>
      <c r="C316" s="1"/>
      <c r="D316" s="1"/>
      <c r="E316" s="1"/>
      <c r="F316" s="1"/>
      <c r="G316" s="1"/>
    </row>
    <row r="317" ht="12.75" customHeight="1">
      <c r="A317" s="1"/>
      <c r="B317" s="1"/>
      <c r="C317" s="1"/>
      <c r="D317" s="1"/>
      <c r="E317" s="1"/>
      <c r="F317" s="1"/>
      <c r="G317" s="1"/>
    </row>
    <row r="318" ht="12.75" customHeight="1">
      <c r="A318" s="1"/>
      <c r="B318" s="1"/>
      <c r="C318" s="1"/>
      <c r="D318" s="1"/>
      <c r="E318" s="1"/>
      <c r="F318" s="1"/>
      <c r="G318" s="1"/>
    </row>
    <row r="319" ht="12.75" customHeight="1">
      <c r="A319" s="1"/>
      <c r="B319" s="1"/>
      <c r="C319" s="1"/>
      <c r="D319" s="1"/>
      <c r="E319" s="1"/>
      <c r="F319" s="1"/>
      <c r="G319" s="1"/>
    </row>
    <row r="320" ht="12.75" customHeight="1">
      <c r="A320" s="1"/>
      <c r="B320" s="1"/>
      <c r="C320" s="1"/>
      <c r="D320" s="1"/>
      <c r="E320" s="1"/>
      <c r="F320" s="1"/>
      <c r="G320" s="1"/>
    </row>
    <row r="321" ht="12.75" customHeight="1">
      <c r="A321" s="1"/>
      <c r="B321" s="1"/>
      <c r="C321" s="1"/>
      <c r="D321" s="1"/>
      <c r="E321" s="1"/>
      <c r="F321" s="1"/>
      <c r="G321" s="1"/>
    </row>
    <row r="322" ht="12.75" customHeight="1">
      <c r="A322" s="1"/>
      <c r="B322" s="1"/>
      <c r="C322" s="1"/>
      <c r="D322" s="1"/>
      <c r="E322" s="1"/>
      <c r="F322" s="1"/>
      <c r="G322" s="1"/>
    </row>
    <row r="323" ht="12.75" customHeight="1">
      <c r="A323" s="1"/>
      <c r="B323" s="1"/>
      <c r="C323" s="1"/>
      <c r="D323" s="1"/>
      <c r="E323" s="1"/>
      <c r="F323" s="1"/>
      <c r="G323" s="1"/>
    </row>
    <row r="324" ht="12.75" customHeight="1">
      <c r="A324" s="1"/>
      <c r="B324" s="1"/>
      <c r="C324" s="1"/>
      <c r="D324" s="1"/>
      <c r="E324" s="1"/>
      <c r="F324" s="1"/>
      <c r="G324" s="1"/>
    </row>
    <row r="325" ht="12.75" customHeight="1">
      <c r="A325" s="1"/>
      <c r="B325" s="1"/>
      <c r="C325" s="1"/>
      <c r="D325" s="1"/>
      <c r="E325" s="1"/>
      <c r="F325" s="1"/>
      <c r="G325" s="1"/>
    </row>
    <row r="326" ht="12.75" customHeight="1">
      <c r="A326" s="1"/>
      <c r="B326" s="1"/>
      <c r="C326" s="1"/>
      <c r="D326" s="1"/>
      <c r="E326" s="1"/>
      <c r="F326" s="1"/>
      <c r="G326" s="1"/>
    </row>
    <row r="327" ht="12.75" customHeight="1">
      <c r="A327" s="1"/>
      <c r="B327" s="1"/>
      <c r="C327" s="1"/>
      <c r="D327" s="1"/>
      <c r="E327" s="1"/>
      <c r="F327" s="1"/>
      <c r="G327" s="1"/>
    </row>
    <row r="328" ht="12.75" customHeight="1">
      <c r="A328" s="1"/>
      <c r="B328" s="1"/>
      <c r="C328" s="1"/>
      <c r="D328" s="1"/>
      <c r="E328" s="1"/>
      <c r="F328" s="1"/>
      <c r="G328" s="1"/>
    </row>
    <row r="329" ht="12.75" customHeight="1">
      <c r="A329" s="1"/>
      <c r="B329" s="1"/>
      <c r="C329" s="1"/>
      <c r="D329" s="1"/>
      <c r="E329" s="1"/>
      <c r="F329" s="1"/>
      <c r="G329" s="1"/>
    </row>
    <row r="330" ht="12.75" customHeight="1">
      <c r="A330" s="1"/>
      <c r="B330" s="1"/>
      <c r="C330" s="1"/>
      <c r="D330" s="1"/>
      <c r="E330" s="1"/>
      <c r="F330" s="1"/>
      <c r="G330" s="1"/>
    </row>
    <row r="331" ht="12.75" customHeight="1">
      <c r="A331" s="1"/>
      <c r="B331" s="1"/>
      <c r="C331" s="1"/>
      <c r="D331" s="1"/>
      <c r="E331" s="1"/>
      <c r="F331" s="1"/>
      <c r="G331" s="1"/>
    </row>
    <row r="332" ht="12.75" customHeight="1">
      <c r="A332" s="1"/>
      <c r="B332" s="1"/>
      <c r="C332" s="1"/>
      <c r="D332" s="1"/>
      <c r="E332" s="1"/>
      <c r="F332" s="1"/>
      <c r="G332" s="1"/>
    </row>
    <row r="333" ht="12.75" customHeight="1">
      <c r="A333" s="1"/>
      <c r="B333" s="1"/>
      <c r="C333" s="1"/>
      <c r="D333" s="1"/>
      <c r="E333" s="1"/>
      <c r="F333" s="1"/>
      <c r="G333" s="1"/>
    </row>
    <row r="334" ht="12.75" customHeight="1">
      <c r="A334" s="1"/>
      <c r="B334" s="1"/>
      <c r="C334" s="1"/>
      <c r="D334" s="1"/>
      <c r="E334" s="1"/>
      <c r="F334" s="1"/>
      <c r="G334" s="1"/>
    </row>
    <row r="335" ht="12.75" customHeight="1">
      <c r="A335" s="1"/>
      <c r="B335" s="1"/>
      <c r="C335" s="1"/>
      <c r="D335" s="1"/>
      <c r="E335" s="1"/>
      <c r="F335" s="1"/>
      <c r="G335" s="1"/>
    </row>
    <row r="336" ht="12.75" customHeight="1">
      <c r="A336" s="1"/>
      <c r="B336" s="1"/>
      <c r="C336" s="1"/>
      <c r="D336" s="1"/>
      <c r="E336" s="1"/>
      <c r="F336" s="1"/>
      <c r="G336" s="1"/>
    </row>
    <row r="337" ht="12.75" customHeight="1">
      <c r="A337" s="1"/>
      <c r="B337" s="1"/>
      <c r="C337" s="1"/>
      <c r="D337" s="1"/>
      <c r="E337" s="1"/>
      <c r="F337" s="1"/>
      <c r="G337" s="1"/>
    </row>
    <row r="338" ht="12.75" customHeight="1">
      <c r="A338" s="1"/>
      <c r="B338" s="1"/>
      <c r="C338" s="1"/>
      <c r="D338" s="1"/>
      <c r="E338" s="1"/>
      <c r="F338" s="1"/>
      <c r="G338" s="1"/>
    </row>
    <row r="339" ht="12.75" customHeight="1">
      <c r="A339" s="1"/>
      <c r="B339" s="1"/>
      <c r="C339" s="1"/>
      <c r="D339" s="1"/>
      <c r="E339" s="1"/>
      <c r="F339" s="1"/>
      <c r="G339" s="1"/>
    </row>
    <row r="340" ht="12.75" customHeight="1">
      <c r="A340" s="1"/>
      <c r="B340" s="1"/>
      <c r="C340" s="1"/>
      <c r="D340" s="1"/>
      <c r="E340" s="1"/>
      <c r="F340" s="1"/>
      <c r="G340" s="1"/>
    </row>
    <row r="341" ht="12.75" customHeight="1">
      <c r="A341" s="1"/>
      <c r="B341" s="1"/>
      <c r="C341" s="1"/>
      <c r="D341" s="1"/>
      <c r="E341" s="1"/>
      <c r="F341" s="1"/>
      <c r="G341" s="1"/>
    </row>
    <row r="342" ht="12.75" customHeight="1">
      <c r="A342" s="1"/>
      <c r="B342" s="1"/>
      <c r="C342" s="1"/>
      <c r="D342" s="1"/>
      <c r="E342" s="1"/>
      <c r="F342" s="1"/>
      <c r="G342" s="1"/>
    </row>
    <row r="343" ht="12.75" customHeight="1">
      <c r="A343" s="1"/>
      <c r="B343" s="1"/>
      <c r="C343" s="1"/>
      <c r="D343" s="1"/>
      <c r="E343" s="1"/>
      <c r="F343" s="1"/>
      <c r="G343" s="1"/>
    </row>
    <row r="344" ht="12.75" customHeight="1">
      <c r="A344" s="1"/>
      <c r="B344" s="1"/>
      <c r="C344" s="1"/>
      <c r="D344" s="1"/>
      <c r="E344" s="1"/>
      <c r="F344" s="1"/>
      <c r="G344" s="1"/>
    </row>
    <row r="345" ht="12.75" customHeight="1">
      <c r="A345" s="1"/>
      <c r="B345" s="1"/>
      <c r="C345" s="1"/>
      <c r="D345" s="1"/>
      <c r="E345" s="1"/>
      <c r="F345" s="1"/>
      <c r="G345" s="1"/>
    </row>
    <row r="346" ht="12.75" customHeight="1">
      <c r="A346" s="1"/>
      <c r="B346" s="1"/>
      <c r="C346" s="1"/>
      <c r="D346" s="1"/>
      <c r="E346" s="1"/>
      <c r="F346" s="1"/>
      <c r="G346" s="1"/>
    </row>
    <row r="347" ht="12.75" customHeight="1">
      <c r="A347" s="1"/>
      <c r="B347" s="1"/>
      <c r="C347" s="1"/>
      <c r="D347" s="1"/>
      <c r="E347" s="1"/>
      <c r="F347" s="1"/>
      <c r="G347" s="1"/>
    </row>
    <row r="348" ht="12.75" customHeight="1">
      <c r="A348" s="1"/>
      <c r="B348" s="1"/>
      <c r="C348" s="1"/>
      <c r="D348" s="1"/>
      <c r="E348" s="1"/>
      <c r="F348" s="1"/>
      <c r="G348" s="1"/>
    </row>
    <row r="349" ht="12.75" customHeight="1">
      <c r="A349" s="1"/>
      <c r="B349" s="1"/>
      <c r="C349" s="1"/>
      <c r="D349" s="1"/>
      <c r="E349" s="1"/>
      <c r="F349" s="1"/>
      <c r="G349" s="1"/>
    </row>
    <row r="350" ht="12.75" customHeight="1">
      <c r="A350" s="1"/>
      <c r="B350" s="1"/>
      <c r="C350" s="1"/>
      <c r="D350" s="1"/>
      <c r="E350" s="1"/>
      <c r="F350" s="1"/>
      <c r="G350" s="1"/>
    </row>
    <row r="351" ht="12.75" customHeight="1">
      <c r="A351" s="1"/>
      <c r="B351" s="1"/>
      <c r="C351" s="1"/>
      <c r="D351" s="1"/>
      <c r="E351" s="1"/>
      <c r="F351" s="1"/>
      <c r="G351" s="1"/>
    </row>
    <row r="352" ht="12.75" customHeight="1">
      <c r="A352" s="1"/>
      <c r="B352" s="1"/>
      <c r="C352" s="1"/>
      <c r="D352" s="1"/>
      <c r="E352" s="1"/>
      <c r="F352" s="1"/>
      <c r="G352" s="1"/>
    </row>
    <row r="353" ht="12.75" customHeight="1">
      <c r="A353" s="1"/>
      <c r="B353" s="1"/>
      <c r="C353" s="1"/>
      <c r="D353" s="1"/>
      <c r="E353" s="1"/>
      <c r="F353" s="1"/>
      <c r="G353" s="1"/>
    </row>
    <row r="354" ht="12.75" customHeight="1">
      <c r="A354" s="1"/>
      <c r="B354" s="1"/>
      <c r="C354" s="1"/>
      <c r="D354" s="1"/>
      <c r="E354" s="1"/>
      <c r="F354" s="1"/>
      <c r="G354" s="1"/>
    </row>
    <row r="355" ht="12.75" customHeight="1">
      <c r="A355" s="1"/>
      <c r="B355" s="1"/>
      <c r="C355" s="1"/>
      <c r="D355" s="1"/>
      <c r="E355" s="1"/>
      <c r="F355" s="1"/>
      <c r="G355" s="1"/>
    </row>
    <row r="356" ht="12.75" customHeight="1">
      <c r="A356" s="1"/>
      <c r="B356" s="1"/>
      <c r="C356" s="1"/>
      <c r="D356" s="1"/>
      <c r="E356" s="1"/>
      <c r="F356" s="1"/>
      <c r="G356" s="1"/>
    </row>
    <row r="357" ht="12.75" customHeight="1">
      <c r="A357" s="1"/>
      <c r="B357" s="1"/>
      <c r="C357" s="1"/>
      <c r="D357" s="1"/>
      <c r="E357" s="1"/>
      <c r="F357" s="1"/>
      <c r="G357" s="1"/>
    </row>
    <row r="358" ht="12.75" customHeight="1">
      <c r="A358" s="1"/>
      <c r="B358" s="1"/>
      <c r="C358" s="1"/>
      <c r="D358" s="1"/>
      <c r="E358" s="1"/>
      <c r="F358" s="1"/>
      <c r="G358" s="1"/>
    </row>
    <row r="359" ht="12.75" customHeight="1">
      <c r="A359" s="1"/>
      <c r="B359" s="1"/>
      <c r="C359" s="1"/>
      <c r="D359" s="1"/>
      <c r="E359" s="1"/>
      <c r="F359" s="1"/>
      <c r="G359" s="1"/>
    </row>
    <row r="360" ht="12.75" customHeight="1">
      <c r="A360" s="1"/>
      <c r="B360" s="1"/>
      <c r="C360" s="1"/>
      <c r="D360" s="1"/>
      <c r="E360" s="1"/>
      <c r="F360" s="1"/>
      <c r="G360" s="1"/>
    </row>
    <row r="361" ht="12.75" customHeight="1">
      <c r="A361" s="1"/>
      <c r="B361" s="1"/>
      <c r="C361" s="1"/>
      <c r="D361" s="1"/>
      <c r="E361" s="1"/>
      <c r="F361" s="1"/>
      <c r="G361" s="1"/>
    </row>
    <row r="362" ht="12.75" customHeight="1">
      <c r="A362" s="1"/>
      <c r="B362" s="1"/>
      <c r="C362" s="1"/>
      <c r="D362" s="1"/>
      <c r="E362" s="1"/>
      <c r="F362" s="1"/>
      <c r="G362" s="1"/>
    </row>
    <row r="363" ht="12.75" customHeight="1">
      <c r="A363" s="1"/>
      <c r="B363" s="1"/>
      <c r="C363" s="1"/>
      <c r="D363" s="1"/>
      <c r="E363" s="1"/>
      <c r="F363" s="1"/>
      <c r="G363" s="1"/>
    </row>
    <row r="364" ht="12.75" customHeight="1">
      <c r="A364" s="1"/>
      <c r="B364" s="1"/>
      <c r="C364" s="1"/>
      <c r="D364" s="1"/>
      <c r="E364" s="1"/>
      <c r="F364" s="1"/>
      <c r="G364" s="1"/>
    </row>
    <row r="365" ht="12.75" customHeight="1">
      <c r="A365" s="1"/>
      <c r="B365" s="1"/>
      <c r="C365" s="1"/>
      <c r="D365" s="1"/>
      <c r="E365" s="1"/>
      <c r="F365" s="1"/>
      <c r="G365" s="1"/>
    </row>
    <row r="366" ht="12.75" customHeight="1">
      <c r="A366" s="1"/>
      <c r="B366" s="1"/>
      <c r="C366" s="1"/>
      <c r="D366" s="1"/>
      <c r="E366" s="1"/>
      <c r="F366" s="1"/>
      <c r="G366" s="1"/>
    </row>
    <row r="367" ht="12.75" customHeight="1">
      <c r="A367" s="1"/>
      <c r="B367" s="1"/>
      <c r="C367" s="1"/>
      <c r="D367" s="1"/>
      <c r="E367" s="1"/>
      <c r="F367" s="1"/>
      <c r="G367" s="1"/>
    </row>
    <row r="368" ht="12.75" customHeight="1">
      <c r="A368" s="1"/>
      <c r="B368" s="1"/>
      <c r="C368" s="1"/>
      <c r="D368" s="1"/>
      <c r="E368" s="1"/>
      <c r="F368" s="1"/>
      <c r="G368" s="1"/>
    </row>
    <row r="369" ht="12.75" customHeight="1">
      <c r="A369" s="1"/>
      <c r="B369" s="1"/>
      <c r="C369" s="1"/>
      <c r="D369" s="1"/>
      <c r="E369" s="1"/>
      <c r="F369" s="1"/>
      <c r="G369" s="1"/>
    </row>
    <row r="370" ht="12.75" customHeight="1">
      <c r="A370" s="1"/>
      <c r="B370" s="1"/>
      <c r="C370" s="1"/>
      <c r="D370" s="1"/>
      <c r="E370" s="1"/>
      <c r="F370" s="1"/>
      <c r="G370" s="1"/>
    </row>
    <row r="371" ht="12.75" customHeight="1">
      <c r="A371" s="1"/>
      <c r="B371" s="1"/>
      <c r="C371" s="1"/>
      <c r="D371" s="1"/>
      <c r="E371" s="1"/>
      <c r="F371" s="1"/>
      <c r="G371" s="1"/>
    </row>
    <row r="372" ht="12.75" customHeight="1">
      <c r="A372" s="1"/>
      <c r="B372" s="1"/>
      <c r="C372" s="1"/>
      <c r="D372" s="1"/>
      <c r="E372" s="1"/>
      <c r="F372" s="1"/>
      <c r="G372" s="1"/>
    </row>
    <row r="373" ht="12.75" customHeight="1">
      <c r="A373" s="1"/>
      <c r="B373" s="1"/>
      <c r="C373" s="1"/>
      <c r="D373" s="1"/>
      <c r="E373" s="1"/>
      <c r="F373" s="1"/>
      <c r="G373" s="1"/>
    </row>
    <row r="374" ht="12.75" customHeight="1">
      <c r="A374" s="1"/>
      <c r="B374" s="1"/>
      <c r="C374" s="1"/>
      <c r="D374" s="1"/>
      <c r="E374" s="1"/>
      <c r="F374" s="1"/>
      <c r="G374" s="1"/>
    </row>
    <row r="375" ht="12.75" customHeight="1">
      <c r="A375" s="1"/>
      <c r="B375" s="1"/>
      <c r="C375" s="1"/>
      <c r="D375" s="1"/>
      <c r="E375" s="1"/>
      <c r="F375" s="1"/>
      <c r="G375" s="1"/>
    </row>
    <row r="376" ht="12.75" customHeight="1">
      <c r="A376" s="1"/>
      <c r="B376" s="1"/>
      <c r="C376" s="1"/>
      <c r="D376" s="1"/>
      <c r="E376" s="1"/>
      <c r="F376" s="1"/>
      <c r="G376" s="1"/>
    </row>
    <row r="377" ht="12.75" customHeight="1">
      <c r="A377" s="1"/>
      <c r="B377" s="1"/>
      <c r="C377" s="1"/>
      <c r="D377" s="1"/>
      <c r="E377" s="1"/>
      <c r="F377" s="1"/>
      <c r="G377" s="1"/>
    </row>
    <row r="378" ht="12.75" customHeight="1">
      <c r="A378" s="1"/>
      <c r="B378" s="1"/>
      <c r="C378" s="1"/>
      <c r="D378" s="1"/>
      <c r="E378" s="1"/>
      <c r="F378" s="1"/>
      <c r="G378" s="1"/>
    </row>
    <row r="379" ht="12.75" customHeight="1">
      <c r="A379" s="1"/>
      <c r="B379" s="1"/>
      <c r="C379" s="1"/>
      <c r="D379" s="1"/>
      <c r="E379" s="1"/>
      <c r="F379" s="1"/>
      <c r="G379" s="1"/>
    </row>
    <row r="380" ht="12.75" customHeight="1">
      <c r="A380" s="1"/>
      <c r="B380" s="1"/>
      <c r="C380" s="1"/>
      <c r="D380" s="1"/>
      <c r="E380" s="1"/>
      <c r="F380" s="1"/>
      <c r="G380" s="1"/>
    </row>
    <row r="381" ht="12.75" customHeight="1">
      <c r="A381" s="1"/>
      <c r="B381" s="1"/>
      <c r="C381" s="1"/>
      <c r="D381" s="1"/>
      <c r="E381" s="1"/>
      <c r="F381" s="1"/>
      <c r="G381" s="1"/>
    </row>
    <row r="382" ht="12.75" customHeight="1">
      <c r="A382" s="1"/>
      <c r="B382" s="1"/>
      <c r="C382" s="1"/>
      <c r="D382" s="1"/>
      <c r="E382" s="1"/>
      <c r="F382" s="1"/>
      <c r="G382" s="1"/>
    </row>
    <row r="383" ht="12.75" customHeight="1">
      <c r="A383" s="1"/>
      <c r="B383" s="1"/>
      <c r="C383" s="1"/>
      <c r="D383" s="1"/>
      <c r="E383" s="1"/>
      <c r="F383" s="1"/>
      <c r="G383" s="1"/>
    </row>
    <row r="384" ht="12.75" customHeight="1">
      <c r="A384" s="1"/>
      <c r="B384" s="1"/>
      <c r="C384" s="1"/>
      <c r="D384" s="1"/>
      <c r="E384" s="1"/>
      <c r="F384" s="1"/>
      <c r="G384" s="1"/>
    </row>
    <row r="385" ht="12.75" customHeight="1">
      <c r="A385" s="1"/>
      <c r="B385" s="1"/>
      <c r="C385" s="1"/>
      <c r="D385" s="1"/>
      <c r="E385" s="1"/>
      <c r="F385" s="1"/>
      <c r="G385" s="1"/>
    </row>
    <row r="386" ht="12.75" customHeight="1">
      <c r="A386" s="1"/>
      <c r="B386" s="1"/>
      <c r="C386" s="1"/>
      <c r="D386" s="1"/>
      <c r="E386" s="1"/>
      <c r="F386" s="1"/>
      <c r="G386" s="1"/>
    </row>
    <row r="387" ht="12.75" customHeight="1">
      <c r="A387" s="1"/>
      <c r="B387" s="1"/>
      <c r="C387" s="1"/>
      <c r="D387" s="1"/>
      <c r="E387" s="1"/>
      <c r="F387" s="1"/>
      <c r="G387" s="1"/>
    </row>
    <row r="388" ht="12.75" customHeight="1">
      <c r="A388" s="1"/>
      <c r="B388" s="1"/>
      <c r="C388" s="1"/>
      <c r="D388" s="1"/>
      <c r="E388" s="1"/>
      <c r="F388" s="1"/>
      <c r="G388" s="1"/>
    </row>
    <row r="389" ht="12.75" customHeight="1">
      <c r="A389" s="1"/>
      <c r="B389" s="1"/>
      <c r="C389" s="1"/>
      <c r="D389" s="1"/>
      <c r="E389" s="1"/>
      <c r="F389" s="1"/>
      <c r="G389" s="1"/>
    </row>
    <row r="390" ht="12.75" customHeight="1">
      <c r="A390" s="1"/>
      <c r="B390" s="1"/>
      <c r="C390" s="1"/>
      <c r="D390" s="1"/>
      <c r="E390" s="1"/>
      <c r="F390" s="1"/>
      <c r="G390" s="1"/>
    </row>
    <row r="391" ht="12.75" customHeight="1">
      <c r="A391" s="1"/>
      <c r="B391" s="1"/>
      <c r="C391" s="1"/>
      <c r="D391" s="1"/>
      <c r="E391" s="1"/>
      <c r="F391" s="1"/>
      <c r="G391" s="1"/>
    </row>
    <row r="392" ht="12.75" customHeight="1">
      <c r="A392" s="1"/>
      <c r="B392" s="1"/>
      <c r="C392" s="1"/>
      <c r="D392" s="1"/>
      <c r="E392" s="1"/>
      <c r="F392" s="1"/>
      <c r="G392" s="1"/>
    </row>
    <row r="393" ht="12.75" customHeight="1">
      <c r="A393" s="1"/>
      <c r="B393" s="1"/>
      <c r="C393" s="1"/>
      <c r="D393" s="1"/>
      <c r="E393" s="1"/>
      <c r="F393" s="1"/>
      <c r="G393" s="1"/>
    </row>
    <row r="394" ht="12.75" customHeight="1">
      <c r="A394" s="1"/>
      <c r="B394" s="1"/>
      <c r="C394" s="1"/>
      <c r="D394" s="1"/>
      <c r="E394" s="1"/>
      <c r="F394" s="1"/>
      <c r="G394" s="1"/>
    </row>
    <row r="395" ht="12.75" customHeight="1">
      <c r="A395" s="1"/>
      <c r="B395" s="1"/>
      <c r="C395" s="1"/>
      <c r="D395" s="1"/>
      <c r="E395" s="1"/>
      <c r="F395" s="1"/>
      <c r="G395" s="1"/>
    </row>
    <row r="396" ht="12.75" customHeight="1">
      <c r="A396" s="1"/>
      <c r="B396" s="1"/>
      <c r="C396" s="1"/>
      <c r="D396" s="1"/>
      <c r="E396" s="1"/>
      <c r="F396" s="1"/>
      <c r="G396" s="1"/>
    </row>
    <row r="397" ht="12.75" customHeight="1">
      <c r="A397" s="1"/>
      <c r="B397" s="1"/>
      <c r="C397" s="1"/>
      <c r="D397" s="1"/>
      <c r="E397" s="1"/>
      <c r="F397" s="1"/>
      <c r="G397" s="1"/>
    </row>
    <row r="398" ht="12.75" customHeight="1">
      <c r="A398" s="1"/>
      <c r="B398" s="1"/>
      <c r="C398" s="1"/>
      <c r="D398" s="1"/>
      <c r="E398" s="1"/>
      <c r="F398" s="1"/>
      <c r="G398" s="1"/>
    </row>
    <row r="399" ht="12.75" customHeight="1">
      <c r="A399" s="1"/>
      <c r="B399" s="1"/>
      <c r="C399" s="1"/>
      <c r="D399" s="1"/>
      <c r="E399" s="1"/>
      <c r="F399" s="1"/>
      <c r="G399" s="1"/>
    </row>
    <row r="400" ht="12.75" customHeight="1">
      <c r="A400" s="1"/>
      <c r="B400" s="1"/>
      <c r="C400" s="1"/>
      <c r="D400" s="1"/>
      <c r="E400" s="1"/>
      <c r="F400" s="1"/>
      <c r="G400" s="1"/>
    </row>
    <row r="401" ht="12.75" customHeight="1">
      <c r="A401" s="1"/>
      <c r="B401" s="1"/>
      <c r="C401" s="1"/>
      <c r="D401" s="1"/>
      <c r="E401" s="1"/>
      <c r="F401" s="1"/>
      <c r="G401" s="1"/>
    </row>
    <row r="402" ht="12.75" customHeight="1">
      <c r="A402" s="1"/>
      <c r="B402" s="1"/>
      <c r="C402" s="1"/>
      <c r="D402" s="1"/>
      <c r="E402" s="1"/>
      <c r="F402" s="1"/>
      <c r="G402" s="1"/>
    </row>
    <row r="403" ht="12.75" customHeight="1">
      <c r="A403" s="1"/>
      <c r="B403" s="1"/>
      <c r="C403" s="1"/>
      <c r="D403" s="1"/>
      <c r="E403" s="1"/>
      <c r="F403" s="1"/>
      <c r="G403" s="1"/>
    </row>
    <row r="404" ht="12.75" customHeight="1">
      <c r="A404" s="1"/>
      <c r="B404" s="1"/>
      <c r="C404" s="1"/>
      <c r="D404" s="1"/>
      <c r="E404" s="1"/>
      <c r="F404" s="1"/>
      <c r="G404" s="1"/>
    </row>
    <row r="405" ht="12.75" customHeight="1">
      <c r="A405" s="1"/>
      <c r="B405" s="1"/>
      <c r="C405" s="1"/>
      <c r="D405" s="1"/>
      <c r="E405" s="1"/>
      <c r="F405" s="1"/>
      <c r="G405" s="1"/>
    </row>
    <row r="406" ht="12.75" customHeight="1">
      <c r="A406" s="1"/>
      <c r="B406" s="1"/>
      <c r="C406" s="1"/>
      <c r="D406" s="1"/>
      <c r="E406" s="1"/>
      <c r="F406" s="1"/>
      <c r="G406" s="1"/>
    </row>
    <row r="407" ht="12.75" customHeight="1">
      <c r="A407" s="1"/>
      <c r="B407" s="1"/>
      <c r="C407" s="1"/>
      <c r="D407" s="1"/>
      <c r="E407" s="1"/>
      <c r="F407" s="1"/>
      <c r="G407" s="1"/>
    </row>
    <row r="408" ht="12.75" customHeight="1">
      <c r="A408" s="1"/>
      <c r="B408" s="1"/>
      <c r="C408" s="1"/>
      <c r="D408" s="1"/>
      <c r="E408" s="1"/>
      <c r="F408" s="1"/>
      <c r="G408" s="1"/>
    </row>
    <row r="409" ht="12.75" customHeight="1">
      <c r="A409" s="1"/>
      <c r="B409" s="1"/>
      <c r="C409" s="1"/>
      <c r="D409" s="1"/>
      <c r="E409" s="1"/>
      <c r="F409" s="1"/>
      <c r="G409" s="1"/>
    </row>
    <row r="410" ht="12.75" customHeight="1">
      <c r="A410" s="1"/>
      <c r="B410" s="1"/>
      <c r="C410" s="1"/>
      <c r="D410" s="1"/>
      <c r="E410" s="1"/>
      <c r="F410" s="1"/>
      <c r="G410" s="1"/>
    </row>
    <row r="411" ht="12.75" customHeight="1">
      <c r="A411" s="1"/>
      <c r="B411" s="1"/>
      <c r="C411" s="1"/>
      <c r="D411" s="1"/>
      <c r="E411" s="1"/>
      <c r="F411" s="1"/>
      <c r="G411" s="1"/>
    </row>
    <row r="412" ht="12.75" customHeight="1">
      <c r="A412" s="1"/>
      <c r="B412" s="1"/>
      <c r="C412" s="1"/>
      <c r="D412" s="1"/>
      <c r="E412" s="1"/>
      <c r="F412" s="1"/>
      <c r="G412" s="1"/>
    </row>
    <row r="413" ht="12.75" customHeight="1">
      <c r="A413" s="1"/>
      <c r="B413" s="1"/>
      <c r="C413" s="1"/>
      <c r="D413" s="1"/>
      <c r="E413" s="1"/>
      <c r="F413" s="1"/>
      <c r="G413" s="1"/>
    </row>
    <row r="414" ht="12.75" customHeight="1">
      <c r="A414" s="1"/>
      <c r="B414" s="1"/>
      <c r="C414" s="1"/>
      <c r="D414" s="1"/>
      <c r="E414" s="1"/>
      <c r="F414" s="1"/>
      <c r="G414" s="1"/>
    </row>
    <row r="415" ht="12.75" customHeight="1">
      <c r="A415" s="1"/>
      <c r="B415" s="1"/>
      <c r="C415" s="1"/>
      <c r="D415" s="1"/>
      <c r="E415" s="1"/>
      <c r="F415" s="1"/>
      <c r="G415" s="1"/>
    </row>
    <row r="416" ht="12.75" customHeight="1">
      <c r="A416" s="1"/>
      <c r="B416" s="1"/>
      <c r="C416" s="1"/>
      <c r="D416" s="1"/>
      <c r="E416" s="1"/>
      <c r="F416" s="1"/>
      <c r="G416" s="1"/>
    </row>
    <row r="417" ht="12.75" customHeight="1">
      <c r="A417" s="1"/>
      <c r="B417" s="1"/>
      <c r="C417" s="1"/>
      <c r="D417" s="1"/>
      <c r="E417" s="1"/>
      <c r="F417" s="1"/>
      <c r="G417" s="1"/>
    </row>
    <row r="418" ht="12.75" customHeight="1">
      <c r="A418" s="1"/>
      <c r="B418" s="1"/>
      <c r="C418" s="1"/>
      <c r="D418" s="1"/>
      <c r="E418" s="1"/>
      <c r="F418" s="1"/>
      <c r="G418" s="1"/>
    </row>
    <row r="419" ht="12.75" customHeight="1">
      <c r="A419" s="1"/>
      <c r="B419" s="1"/>
      <c r="C419" s="1"/>
      <c r="D419" s="1"/>
      <c r="E419" s="1"/>
      <c r="F419" s="1"/>
      <c r="G419" s="1"/>
    </row>
    <row r="420" ht="12.75" customHeight="1">
      <c r="A420" s="1"/>
      <c r="B420" s="1"/>
      <c r="C420" s="1"/>
      <c r="D420" s="1"/>
      <c r="E420" s="1"/>
      <c r="F420" s="1"/>
      <c r="G420" s="1"/>
    </row>
    <row r="421" ht="12.75" customHeight="1">
      <c r="A421" s="1"/>
      <c r="B421" s="1"/>
      <c r="C421" s="1"/>
      <c r="D421" s="1"/>
      <c r="E421" s="1"/>
      <c r="F421" s="1"/>
      <c r="G421" s="1"/>
    </row>
    <row r="422" ht="12.75" customHeight="1">
      <c r="A422" s="1"/>
      <c r="B422" s="1"/>
      <c r="C422" s="1"/>
      <c r="D422" s="1"/>
      <c r="E422" s="1"/>
      <c r="F422" s="1"/>
      <c r="G422" s="1"/>
    </row>
    <row r="423" ht="12.75" customHeight="1">
      <c r="A423" s="1"/>
      <c r="B423" s="1"/>
      <c r="C423" s="1"/>
      <c r="D423" s="1"/>
      <c r="E423" s="1"/>
      <c r="F423" s="1"/>
      <c r="G423" s="1"/>
    </row>
    <row r="424" ht="12.75" customHeight="1">
      <c r="A424" s="1"/>
      <c r="B424" s="1"/>
      <c r="C424" s="1"/>
      <c r="D424" s="1"/>
      <c r="E424" s="1"/>
      <c r="F424" s="1"/>
      <c r="G424" s="1"/>
    </row>
    <row r="425" ht="12.75" customHeight="1">
      <c r="A425" s="1"/>
      <c r="B425" s="1"/>
      <c r="C425" s="1"/>
      <c r="D425" s="1"/>
      <c r="E425" s="1"/>
      <c r="F425" s="1"/>
      <c r="G425" s="1"/>
    </row>
    <row r="426" ht="12.75" customHeight="1">
      <c r="A426" s="1"/>
      <c r="B426" s="1"/>
      <c r="C426" s="1"/>
      <c r="D426" s="1"/>
      <c r="E426" s="1"/>
      <c r="F426" s="1"/>
      <c r="G426" s="1"/>
    </row>
    <row r="427" ht="12.75" customHeight="1">
      <c r="A427" s="1"/>
      <c r="B427" s="1"/>
      <c r="C427" s="1"/>
      <c r="D427" s="1"/>
      <c r="E427" s="1"/>
      <c r="F427" s="1"/>
      <c r="G427" s="1"/>
    </row>
    <row r="428" ht="12.75" customHeight="1">
      <c r="A428" s="1"/>
      <c r="B428" s="1"/>
      <c r="C428" s="1"/>
      <c r="D428" s="1"/>
      <c r="E428" s="1"/>
      <c r="F428" s="1"/>
      <c r="G428" s="1"/>
    </row>
    <row r="429" ht="12.75" customHeight="1">
      <c r="A429" s="1"/>
      <c r="B429" s="1"/>
      <c r="C429" s="1"/>
      <c r="D429" s="1"/>
      <c r="E429" s="1"/>
      <c r="F429" s="1"/>
      <c r="G429" s="1"/>
    </row>
    <row r="430" ht="12.75" customHeight="1">
      <c r="A430" s="1"/>
      <c r="B430" s="1"/>
      <c r="C430" s="1"/>
      <c r="D430" s="1"/>
      <c r="E430" s="1"/>
      <c r="F430" s="1"/>
      <c r="G430" s="1"/>
    </row>
    <row r="431" ht="12.75" customHeight="1">
      <c r="A431" s="1"/>
      <c r="B431" s="1"/>
      <c r="C431" s="1"/>
      <c r="D431" s="1"/>
      <c r="E431" s="1"/>
      <c r="F431" s="1"/>
      <c r="G431" s="1"/>
    </row>
    <row r="432" ht="12.75" customHeight="1">
      <c r="A432" s="1"/>
      <c r="B432" s="1"/>
      <c r="C432" s="1"/>
      <c r="D432" s="1"/>
      <c r="E432" s="1"/>
      <c r="F432" s="1"/>
      <c r="G432" s="1"/>
    </row>
    <row r="433" ht="12.75" customHeight="1">
      <c r="A433" s="1"/>
      <c r="B433" s="1"/>
      <c r="C433" s="1"/>
      <c r="D433" s="1"/>
      <c r="E433" s="1"/>
      <c r="F433" s="1"/>
      <c r="G433" s="1"/>
    </row>
    <row r="434" ht="12.75" customHeight="1">
      <c r="A434" s="1"/>
      <c r="B434" s="1"/>
      <c r="C434" s="1"/>
      <c r="D434" s="1"/>
      <c r="E434" s="1"/>
      <c r="F434" s="1"/>
      <c r="G434" s="1"/>
    </row>
    <row r="435" ht="12.75" customHeight="1">
      <c r="A435" s="1"/>
      <c r="B435" s="1"/>
      <c r="C435" s="1"/>
      <c r="D435" s="1"/>
      <c r="E435" s="1"/>
      <c r="F435" s="1"/>
      <c r="G435" s="1"/>
    </row>
    <row r="436" ht="12.75" customHeight="1">
      <c r="A436" s="1"/>
      <c r="B436" s="1"/>
      <c r="C436" s="1"/>
      <c r="D436" s="1"/>
      <c r="E436" s="1"/>
      <c r="F436" s="1"/>
      <c r="G436" s="1"/>
    </row>
    <row r="437" ht="12.75" customHeight="1">
      <c r="A437" s="1"/>
      <c r="B437" s="1"/>
      <c r="C437" s="1"/>
      <c r="D437" s="1"/>
      <c r="E437" s="1"/>
      <c r="F437" s="1"/>
      <c r="G437" s="1"/>
    </row>
    <row r="438" ht="12.75" customHeight="1">
      <c r="A438" s="1"/>
      <c r="B438" s="1"/>
      <c r="C438" s="1"/>
      <c r="D438" s="1"/>
      <c r="E438" s="1"/>
      <c r="F438" s="1"/>
      <c r="G438" s="1"/>
    </row>
    <row r="439" ht="12.75" customHeight="1">
      <c r="A439" s="1"/>
      <c r="B439" s="1"/>
      <c r="C439" s="1"/>
      <c r="D439" s="1"/>
      <c r="E439" s="1"/>
      <c r="F439" s="1"/>
      <c r="G439" s="1"/>
    </row>
    <row r="440" ht="12.75" customHeight="1">
      <c r="A440" s="1"/>
      <c r="B440" s="1"/>
      <c r="C440" s="1"/>
      <c r="D440" s="1"/>
      <c r="E440" s="1"/>
      <c r="F440" s="1"/>
      <c r="G440" s="1"/>
    </row>
    <row r="441" ht="12.75" customHeight="1">
      <c r="A441" s="1"/>
      <c r="B441" s="1"/>
      <c r="C441" s="1"/>
      <c r="D441" s="1"/>
      <c r="E441" s="1"/>
      <c r="F441" s="1"/>
      <c r="G441" s="1"/>
    </row>
    <row r="442" ht="12.75" customHeight="1">
      <c r="A442" s="1"/>
      <c r="B442" s="1"/>
      <c r="C442" s="1"/>
      <c r="D442" s="1"/>
      <c r="E442" s="1"/>
      <c r="F442" s="1"/>
      <c r="G442" s="1"/>
    </row>
    <row r="443" ht="12.75" customHeight="1">
      <c r="A443" s="1"/>
      <c r="B443" s="1"/>
      <c r="C443" s="1"/>
      <c r="D443" s="1"/>
      <c r="E443" s="1"/>
      <c r="F443" s="1"/>
      <c r="G443" s="1"/>
    </row>
    <row r="444" ht="12.75" customHeight="1">
      <c r="A444" s="1"/>
      <c r="B444" s="1"/>
      <c r="C444" s="1"/>
      <c r="D444" s="1"/>
      <c r="E444" s="1"/>
      <c r="F444" s="1"/>
      <c r="G444" s="1"/>
    </row>
    <row r="445" ht="12.75" customHeight="1">
      <c r="A445" s="1"/>
      <c r="B445" s="1"/>
      <c r="C445" s="1"/>
      <c r="D445" s="1"/>
      <c r="E445" s="1"/>
      <c r="F445" s="1"/>
      <c r="G445" s="1"/>
    </row>
    <row r="446" ht="12.75" customHeight="1">
      <c r="A446" s="1"/>
      <c r="B446" s="1"/>
      <c r="C446" s="1"/>
      <c r="D446" s="1"/>
      <c r="E446" s="1"/>
      <c r="F446" s="1"/>
      <c r="G446" s="1"/>
    </row>
    <row r="447" ht="12.75" customHeight="1">
      <c r="A447" s="1"/>
      <c r="B447" s="1"/>
      <c r="C447" s="1"/>
      <c r="D447" s="1"/>
      <c r="E447" s="1"/>
      <c r="F447" s="1"/>
      <c r="G447" s="1"/>
    </row>
    <row r="448" ht="12.75" customHeight="1">
      <c r="A448" s="1"/>
      <c r="B448" s="1"/>
      <c r="C448" s="1"/>
      <c r="D448" s="1"/>
      <c r="E448" s="1"/>
      <c r="F448" s="1"/>
      <c r="G448" s="1"/>
    </row>
    <row r="449" ht="12.75" customHeight="1">
      <c r="A449" s="1"/>
      <c r="B449" s="1"/>
      <c r="C449" s="1"/>
      <c r="D449" s="1"/>
      <c r="E449" s="1"/>
      <c r="F449" s="1"/>
      <c r="G449" s="1"/>
    </row>
    <row r="450" ht="12.75" customHeight="1">
      <c r="A450" s="1"/>
      <c r="B450" s="1"/>
      <c r="C450" s="1"/>
      <c r="D450" s="1"/>
      <c r="E450" s="1"/>
      <c r="F450" s="1"/>
      <c r="G450" s="1"/>
    </row>
    <row r="451" ht="12.75" customHeight="1">
      <c r="A451" s="1"/>
      <c r="B451" s="1"/>
      <c r="C451" s="1"/>
      <c r="D451" s="1"/>
      <c r="E451" s="1"/>
      <c r="F451" s="1"/>
      <c r="G451" s="1"/>
    </row>
    <row r="452" ht="12.75" customHeight="1">
      <c r="A452" s="1"/>
      <c r="B452" s="1"/>
      <c r="C452" s="1"/>
      <c r="D452" s="1"/>
      <c r="E452" s="1"/>
      <c r="F452" s="1"/>
      <c r="G452" s="1"/>
    </row>
    <row r="453" ht="12.75" customHeight="1">
      <c r="A453" s="1"/>
      <c r="B453" s="1"/>
      <c r="C453" s="1"/>
      <c r="D453" s="1"/>
      <c r="E453" s="1"/>
      <c r="F453" s="1"/>
      <c r="G453" s="1"/>
    </row>
    <row r="454" ht="12.75" customHeight="1">
      <c r="A454" s="1"/>
      <c r="B454" s="1"/>
      <c r="C454" s="1"/>
      <c r="D454" s="1"/>
      <c r="E454" s="1"/>
      <c r="F454" s="1"/>
      <c r="G454" s="1"/>
    </row>
    <row r="455" ht="12.75" customHeight="1">
      <c r="A455" s="1"/>
      <c r="B455" s="1"/>
      <c r="C455" s="1"/>
      <c r="D455" s="1"/>
      <c r="E455" s="1"/>
      <c r="F455" s="1"/>
      <c r="G455" s="1"/>
    </row>
    <row r="456" ht="12.75" customHeight="1">
      <c r="A456" s="1"/>
      <c r="B456" s="1"/>
      <c r="C456" s="1"/>
      <c r="D456" s="1"/>
      <c r="E456" s="1"/>
      <c r="F456" s="1"/>
      <c r="G456" s="1"/>
    </row>
    <row r="457" ht="12.75" customHeight="1">
      <c r="A457" s="1"/>
      <c r="B457" s="1"/>
      <c r="C457" s="1"/>
      <c r="D457" s="1"/>
      <c r="E457" s="1"/>
      <c r="F457" s="1"/>
      <c r="G457" s="1"/>
    </row>
    <row r="458" ht="12.75" customHeight="1">
      <c r="A458" s="1"/>
      <c r="B458" s="1"/>
      <c r="C458" s="1"/>
      <c r="D458" s="1"/>
      <c r="E458" s="1"/>
      <c r="F458" s="1"/>
      <c r="G458" s="1"/>
    </row>
    <row r="459" ht="12.75" customHeight="1">
      <c r="A459" s="1"/>
      <c r="B459" s="1"/>
      <c r="C459" s="1"/>
      <c r="D459" s="1"/>
      <c r="E459" s="1"/>
      <c r="F459" s="1"/>
      <c r="G459" s="1"/>
    </row>
    <row r="460" ht="12.75" customHeight="1">
      <c r="A460" s="1"/>
      <c r="B460" s="1"/>
      <c r="C460" s="1"/>
      <c r="D460" s="1"/>
      <c r="E460" s="1"/>
      <c r="F460" s="1"/>
      <c r="G460" s="1"/>
    </row>
    <row r="461" ht="12.75" customHeight="1">
      <c r="A461" s="1"/>
      <c r="B461" s="1"/>
      <c r="C461" s="1"/>
      <c r="D461" s="1"/>
      <c r="E461" s="1"/>
      <c r="F461" s="1"/>
      <c r="G461" s="1"/>
    </row>
    <row r="462" ht="12.75" customHeight="1">
      <c r="A462" s="1"/>
      <c r="B462" s="1"/>
      <c r="C462" s="1"/>
      <c r="D462" s="1"/>
      <c r="E462" s="1"/>
      <c r="F462" s="1"/>
      <c r="G462" s="1"/>
    </row>
    <row r="463" ht="12.75" customHeight="1">
      <c r="A463" s="1"/>
      <c r="B463" s="1"/>
      <c r="C463" s="1"/>
      <c r="D463" s="1"/>
      <c r="E463" s="1"/>
      <c r="F463" s="1"/>
      <c r="G463" s="1"/>
    </row>
    <row r="464" ht="12.75" customHeight="1">
      <c r="A464" s="1"/>
      <c r="B464" s="1"/>
      <c r="C464" s="1"/>
      <c r="D464" s="1"/>
      <c r="E464" s="1"/>
      <c r="F464" s="1"/>
      <c r="G464" s="1"/>
    </row>
    <row r="465" ht="12.75" customHeight="1">
      <c r="A465" s="1"/>
      <c r="B465" s="1"/>
      <c r="C465" s="1"/>
      <c r="D465" s="1"/>
      <c r="E465" s="1"/>
      <c r="F465" s="1"/>
      <c r="G465" s="1"/>
    </row>
    <row r="466" ht="12.75" customHeight="1">
      <c r="A466" s="1"/>
      <c r="B466" s="1"/>
      <c r="C466" s="1"/>
      <c r="D466" s="1"/>
      <c r="E466" s="1"/>
      <c r="F466" s="1"/>
      <c r="G466" s="1"/>
    </row>
    <row r="467" ht="12.75" customHeight="1">
      <c r="A467" s="1"/>
      <c r="B467" s="1"/>
      <c r="C467" s="1"/>
      <c r="D467" s="1"/>
      <c r="E467" s="1"/>
      <c r="F467" s="1"/>
      <c r="G467" s="1"/>
    </row>
    <row r="468" ht="12.75" customHeight="1">
      <c r="A468" s="1"/>
      <c r="B468" s="1"/>
      <c r="C468" s="1"/>
      <c r="D468" s="1"/>
      <c r="E468" s="1"/>
      <c r="F468" s="1"/>
      <c r="G468" s="1"/>
    </row>
    <row r="469" ht="12.75" customHeight="1">
      <c r="A469" s="1"/>
      <c r="B469" s="1"/>
      <c r="C469" s="1"/>
      <c r="D469" s="1"/>
      <c r="E469" s="1"/>
      <c r="F469" s="1"/>
      <c r="G469" s="1"/>
    </row>
    <row r="470" ht="12.75" customHeight="1">
      <c r="A470" s="1"/>
      <c r="B470" s="1"/>
      <c r="C470" s="1"/>
      <c r="D470" s="1"/>
      <c r="E470" s="1"/>
      <c r="F470" s="1"/>
      <c r="G470" s="1"/>
    </row>
    <row r="471" ht="12.75" customHeight="1">
      <c r="A471" s="1"/>
      <c r="B471" s="1"/>
      <c r="C471" s="1"/>
      <c r="D471" s="1"/>
      <c r="E471" s="1"/>
      <c r="F471" s="1"/>
      <c r="G471" s="1"/>
    </row>
    <row r="472" ht="12.75" customHeight="1">
      <c r="A472" s="1"/>
      <c r="B472" s="1"/>
      <c r="C472" s="1"/>
      <c r="D472" s="1"/>
      <c r="E472" s="1"/>
      <c r="F472" s="1"/>
      <c r="G472" s="1"/>
    </row>
    <row r="473" ht="12.75" customHeight="1">
      <c r="A473" s="1"/>
      <c r="B473" s="1"/>
      <c r="C473" s="1"/>
      <c r="D473" s="1"/>
      <c r="E473" s="1"/>
      <c r="F473" s="1"/>
      <c r="G473" s="1"/>
    </row>
    <row r="474" ht="12.75" customHeight="1">
      <c r="A474" s="1"/>
      <c r="B474" s="1"/>
      <c r="C474" s="1"/>
      <c r="D474" s="1"/>
      <c r="E474" s="1"/>
      <c r="F474" s="1"/>
      <c r="G474" s="1"/>
    </row>
    <row r="475" ht="12.75" customHeight="1">
      <c r="A475" s="1"/>
      <c r="B475" s="1"/>
      <c r="C475" s="1"/>
      <c r="D475" s="1"/>
      <c r="E475" s="1"/>
      <c r="F475" s="1"/>
      <c r="G475" s="1"/>
    </row>
    <row r="476" ht="12.75" customHeight="1">
      <c r="A476" s="1"/>
      <c r="B476" s="1"/>
      <c r="C476" s="1"/>
      <c r="D476" s="1"/>
      <c r="E476" s="1"/>
      <c r="F476" s="1"/>
      <c r="G476" s="1"/>
    </row>
    <row r="477" ht="12.75" customHeight="1">
      <c r="A477" s="1"/>
      <c r="B477" s="1"/>
      <c r="C477" s="1"/>
      <c r="D477" s="1"/>
      <c r="E477" s="1"/>
      <c r="F477" s="1"/>
      <c r="G477" s="1"/>
    </row>
    <row r="478" ht="12.75" customHeight="1">
      <c r="A478" s="1"/>
      <c r="B478" s="1"/>
      <c r="C478" s="1"/>
      <c r="D478" s="1"/>
      <c r="E478" s="1"/>
      <c r="F478" s="1"/>
      <c r="G478" s="1"/>
    </row>
    <row r="479" ht="12.75" customHeight="1">
      <c r="A479" s="1"/>
      <c r="B479" s="1"/>
      <c r="C479" s="1"/>
      <c r="D479" s="1"/>
      <c r="E479" s="1"/>
      <c r="F479" s="1"/>
      <c r="G479" s="1"/>
    </row>
    <row r="480" ht="12.75" customHeight="1">
      <c r="A480" s="1"/>
      <c r="B480" s="1"/>
      <c r="C480" s="1"/>
      <c r="D480" s="1"/>
      <c r="E480" s="1"/>
      <c r="F480" s="1"/>
      <c r="G480" s="1"/>
    </row>
    <row r="481" ht="12.75" customHeight="1">
      <c r="A481" s="1"/>
      <c r="B481" s="1"/>
      <c r="C481" s="1"/>
      <c r="D481" s="1"/>
      <c r="E481" s="1"/>
      <c r="F481" s="1"/>
      <c r="G481" s="1"/>
    </row>
    <row r="482" ht="12.75" customHeight="1">
      <c r="A482" s="1"/>
      <c r="B482" s="1"/>
      <c r="C482" s="1"/>
      <c r="D482" s="1"/>
      <c r="E482" s="1"/>
      <c r="F482" s="1"/>
      <c r="G482" s="1"/>
    </row>
    <row r="483" ht="12.75" customHeight="1">
      <c r="A483" s="1"/>
      <c r="B483" s="1"/>
      <c r="C483" s="1"/>
      <c r="D483" s="1"/>
      <c r="E483" s="1"/>
      <c r="F483" s="1"/>
      <c r="G483" s="1"/>
    </row>
    <row r="484" ht="12.75" customHeight="1">
      <c r="A484" s="1"/>
      <c r="B484" s="1"/>
      <c r="C484" s="1"/>
      <c r="D484" s="1"/>
      <c r="E484" s="1"/>
      <c r="F484" s="1"/>
      <c r="G484" s="1"/>
    </row>
    <row r="485" ht="12.75" customHeight="1">
      <c r="A485" s="1"/>
      <c r="B485" s="1"/>
      <c r="C485" s="1"/>
      <c r="D485" s="1"/>
      <c r="E485" s="1"/>
      <c r="F485" s="1"/>
      <c r="G485" s="1"/>
    </row>
    <row r="486" ht="12.75" customHeight="1">
      <c r="A486" s="1"/>
      <c r="B486" s="1"/>
      <c r="C486" s="1"/>
      <c r="D486" s="1"/>
      <c r="E486" s="1"/>
      <c r="F486" s="1"/>
      <c r="G486" s="1"/>
    </row>
    <row r="487" ht="12.75" customHeight="1">
      <c r="A487" s="1"/>
      <c r="B487" s="1"/>
      <c r="C487" s="1"/>
      <c r="D487" s="1"/>
      <c r="E487" s="1"/>
      <c r="F487" s="1"/>
      <c r="G487" s="1"/>
    </row>
    <row r="488" ht="12.75" customHeight="1">
      <c r="A488" s="1"/>
      <c r="B488" s="1"/>
      <c r="C488" s="1"/>
      <c r="D488" s="1"/>
      <c r="E488" s="1"/>
      <c r="F488" s="1"/>
      <c r="G488" s="1"/>
    </row>
    <row r="489" ht="12.75" customHeight="1">
      <c r="A489" s="1"/>
      <c r="B489" s="1"/>
      <c r="C489" s="1"/>
      <c r="D489" s="1"/>
      <c r="E489" s="1"/>
      <c r="F489" s="1"/>
      <c r="G489" s="1"/>
    </row>
    <row r="490" ht="12.75" customHeight="1">
      <c r="A490" s="1"/>
      <c r="B490" s="1"/>
      <c r="C490" s="1"/>
      <c r="D490" s="1"/>
      <c r="E490" s="1"/>
      <c r="F490" s="1"/>
      <c r="G490" s="1"/>
    </row>
    <row r="491" ht="12.75" customHeight="1">
      <c r="A491" s="1"/>
      <c r="B491" s="1"/>
      <c r="C491" s="1"/>
      <c r="D491" s="1"/>
      <c r="E491" s="1"/>
      <c r="F491" s="1"/>
      <c r="G491" s="1"/>
    </row>
    <row r="492" ht="12.75" customHeight="1">
      <c r="A492" s="1"/>
      <c r="B492" s="1"/>
      <c r="C492" s="1"/>
      <c r="D492" s="1"/>
      <c r="E492" s="1"/>
      <c r="F492" s="1"/>
      <c r="G492" s="1"/>
    </row>
    <row r="493" ht="12.75" customHeight="1">
      <c r="A493" s="1"/>
      <c r="B493" s="1"/>
      <c r="C493" s="1"/>
      <c r="D493" s="1"/>
      <c r="E493" s="1"/>
      <c r="F493" s="1"/>
      <c r="G493" s="1"/>
    </row>
    <row r="494" ht="12.75" customHeight="1">
      <c r="A494" s="1"/>
      <c r="B494" s="1"/>
      <c r="C494" s="1"/>
      <c r="D494" s="1"/>
      <c r="E494" s="1"/>
      <c r="F494" s="1"/>
      <c r="G494" s="1"/>
    </row>
    <row r="495" ht="12.75" customHeight="1">
      <c r="A495" s="1"/>
      <c r="B495" s="1"/>
      <c r="C495" s="1"/>
      <c r="D495" s="1"/>
      <c r="E495" s="1"/>
      <c r="F495" s="1"/>
      <c r="G495" s="1"/>
    </row>
    <row r="496" ht="12.75" customHeight="1">
      <c r="A496" s="1"/>
      <c r="B496" s="1"/>
      <c r="C496" s="1"/>
      <c r="D496" s="1"/>
      <c r="E496" s="1"/>
      <c r="F496" s="1"/>
      <c r="G496" s="1"/>
    </row>
    <row r="497" ht="12.75" customHeight="1">
      <c r="A497" s="1"/>
      <c r="B497" s="1"/>
      <c r="C497" s="1"/>
      <c r="D497" s="1"/>
      <c r="E497" s="1"/>
      <c r="F497" s="1"/>
      <c r="G497" s="1"/>
    </row>
    <row r="498" ht="12.75" customHeight="1">
      <c r="A498" s="1"/>
      <c r="B498" s="1"/>
      <c r="C498" s="1"/>
      <c r="D498" s="1"/>
      <c r="E498" s="1"/>
      <c r="F498" s="1"/>
      <c r="G498" s="1"/>
    </row>
    <row r="499" ht="12.75" customHeight="1">
      <c r="A499" s="1"/>
      <c r="B499" s="1"/>
      <c r="C499" s="1"/>
      <c r="D499" s="1"/>
      <c r="E499" s="1"/>
      <c r="F499" s="1"/>
      <c r="G499" s="1"/>
    </row>
    <row r="500" ht="12.75" customHeight="1">
      <c r="A500" s="1"/>
      <c r="B500" s="1"/>
      <c r="C500" s="1"/>
      <c r="D500" s="1"/>
      <c r="E500" s="1"/>
      <c r="F500" s="1"/>
      <c r="G500" s="1"/>
    </row>
    <row r="501" ht="12.75" customHeight="1">
      <c r="A501" s="1"/>
      <c r="B501" s="1"/>
      <c r="C501" s="1"/>
      <c r="D501" s="1"/>
      <c r="E501" s="1"/>
      <c r="F501" s="1"/>
      <c r="G501" s="1"/>
    </row>
    <row r="502" ht="12.75" customHeight="1">
      <c r="A502" s="1"/>
      <c r="B502" s="1"/>
      <c r="C502" s="1"/>
      <c r="D502" s="1"/>
      <c r="E502" s="1"/>
      <c r="F502" s="1"/>
      <c r="G502" s="1"/>
    </row>
    <row r="503" ht="12.75" customHeight="1">
      <c r="A503" s="1"/>
      <c r="B503" s="1"/>
      <c r="C503" s="1"/>
      <c r="D503" s="1"/>
      <c r="E503" s="1"/>
      <c r="F503" s="1"/>
      <c r="G503" s="1"/>
    </row>
    <row r="504" ht="12.75" customHeight="1">
      <c r="A504" s="1"/>
      <c r="B504" s="1"/>
      <c r="C504" s="1"/>
      <c r="D504" s="1"/>
      <c r="E504" s="1"/>
      <c r="F504" s="1"/>
      <c r="G504" s="1"/>
    </row>
    <row r="505" ht="12.75" customHeight="1">
      <c r="A505" s="1"/>
      <c r="B505" s="1"/>
      <c r="C505" s="1"/>
      <c r="D505" s="1"/>
      <c r="E505" s="1"/>
      <c r="F505" s="1"/>
      <c r="G505" s="1"/>
    </row>
    <row r="506" ht="12.75" customHeight="1">
      <c r="A506" s="1"/>
      <c r="B506" s="1"/>
      <c r="C506" s="1"/>
      <c r="D506" s="1"/>
      <c r="E506" s="1"/>
      <c r="F506" s="1"/>
      <c r="G506" s="1"/>
    </row>
    <row r="507" ht="12.75" customHeight="1">
      <c r="A507" s="1"/>
      <c r="B507" s="1"/>
      <c r="C507" s="1"/>
      <c r="D507" s="1"/>
      <c r="E507" s="1"/>
      <c r="F507" s="1"/>
      <c r="G507" s="1"/>
    </row>
    <row r="508" ht="12.75" customHeight="1">
      <c r="A508" s="1"/>
      <c r="B508" s="1"/>
      <c r="C508" s="1"/>
      <c r="D508" s="1"/>
      <c r="E508" s="1"/>
      <c r="F508" s="1"/>
      <c r="G508" s="1"/>
    </row>
    <row r="509" ht="12.75" customHeight="1">
      <c r="A509" s="1"/>
      <c r="B509" s="1"/>
      <c r="C509" s="1"/>
      <c r="D509" s="1"/>
      <c r="E509" s="1"/>
      <c r="F509" s="1"/>
      <c r="G509" s="1"/>
    </row>
    <row r="510" ht="12.75" customHeight="1">
      <c r="A510" s="1"/>
      <c r="B510" s="1"/>
      <c r="C510" s="1"/>
      <c r="D510" s="1"/>
      <c r="E510" s="1"/>
      <c r="F510" s="1"/>
      <c r="G510" s="1"/>
    </row>
    <row r="511" ht="12.75" customHeight="1">
      <c r="A511" s="1"/>
      <c r="B511" s="1"/>
      <c r="C511" s="1"/>
      <c r="D511" s="1"/>
      <c r="E511" s="1"/>
      <c r="F511" s="1"/>
      <c r="G511" s="1"/>
    </row>
    <row r="512" ht="12.75" customHeight="1">
      <c r="A512" s="1"/>
      <c r="B512" s="1"/>
      <c r="C512" s="1"/>
      <c r="D512" s="1"/>
      <c r="E512" s="1"/>
      <c r="F512" s="1"/>
      <c r="G512" s="1"/>
    </row>
    <row r="513" ht="12.75" customHeight="1">
      <c r="A513" s="1"/>
      <c r="B513" s="1"/>
      <c r="C513" s="1"/>
      <c r="D513" s="1"/>
      <c r="E513" s="1"/>
      <c r="F513" s="1"/>
      <c r="G513" s="1"/>
    </row>
    <row r="514" ht="12.75" customHeight="1">
      <c r="A514" s="1"/>
      <c r="B514" s="1"/>
      <c r="C514" s="1"/>
      <c r="D514" s="1"/>
      <c r="E514" s="1"/>
      <c r="F514" s="1"/>
      <c r="G514" s="1"/>
    </row>
    <row r="515" ht="12.75" customHeight="1">
      <c r="A515" s="1"/>
      <c r="B515" s="1"/>
      <c r="C515" s="1"/>
      <c r="D515" s="1"/>
      <c r="E515" s="1"/>
      <c r="F515" s="1"/>
      <c r="G515" s="1"/>
    </row>
    <row r="516" ht="12.75" customHeight="1">
      <c r="A516" s="1"/>
      <c r="B516" s="1"/>
      <c r="C516" s="1"/>
      <c r="D516" s="1"/>
      <c r="E516" s="1"/>
      <c r="F516" s="1"/>
      <c r="G516" s="1"/>
    </row>
    <row r="517" ht="12.75" customHeight="1">
      <c r="A517" s="1"/>
      <c r="B517" s="1"/>
      <c r="C517" s="1"/>
      <c r="D517" s="1"/>
      <c r="E517" s="1"/>
      <c r="F517" s="1"/>
      <c r="G517" s="1"/>
    </row>
    <row r="518" ht="12.75" customHeight="1">
      <c r="A518" s="1"/>
      <c r="B518" s="1"/>
      <c r="C518" s="1"/>
      <c r="D518" s="1"/>
      <c r="E518" s="1"/>
      <c r="F518" s="1"/>
      <c r="G518" s="1"/>
    </row>
    <row r="519" ht="12.75" customHeight="1">
      <c r="A519" s="1"/>
      <c r="B519" s="1"/>
      <c r="C519" s="1"/>
      <c r="D519" s="1"/>
      <c r="E519" s="1"/>
      <c r="F519" s="1"/>
      <c r="G519" s="1"/>
    </row>
    <row r="520" ht="12.75" customHeight="1">
      <c r="A520" s="1"/>
      <c r="B520" s="1"/>
      <c r="C520" s="1"/>
      <c r="D520" s="1"/>
      <c r="E520" s="1"/>
      <c r="F520" s="1"/>
      <c r="G520" s="1"/>
    </row>
    <row r="521" ht="12.75" customHeight="1">
      <c r="A521" s="1"/>
      <c r="B521" s="1"/>
      <c r="C521" s="1"/>
      <c r="D521" s="1"/>
      <c r="E521" s="1"/>
      <c r="F521" s="1"/>
      <c r="G521" s="1"/>
    </row>
    <row r="522" ht="12.75" customHeight="1">
      <c r="A522" s="1"/>
      <c r="B522" s="1"/>
      <c r="C522" s="1"/>
      <c r="D522" s="1"/>
      <c r="E522" s="1"/>
      <c r="F522" s="1"/>
      <c r="G522" s="1"/>
    </row>
    <row r="523" ht="12.75" customHeight="1">
      <c r="A523" s="1"/>
      <c r="B523" s="1"/>
      <c r="C523" s="1"/>
      <c r="D523" s="1"/>
      <c r="E523" s="1"/>
      <c r="F523" s="1"/>
      <c r="G523" s="1"/>
    </row>
    <row r="524" ht="12.75" customHeight="1">
      <c r="A524" s="1"/>
      <c r="B524" s="1"/>
      <c r="C524" s="1"/>
      <c r="D524" s="1"/>
      <c r="E524" s="1"/>
      <c r="F524" s="1"/>
      <c r="G524" s="1"/>
    </row>
    <row r="525" ht="12.75" customHeight="1">
      <c r="A525" s="1"/>
      <c r="B525" s="1"/>
      <c r="C525" s="1"/>
      <c r="D525" s="1"/>
      <c r="E525" s="1"/>
      <c r="F525" s="1"/>
      <c r="G525" s="1"/>
    </row>
    <row r="526" ht="12.75" customHeight="1">
      <c r="A526" s="1"/>
      <c r="B526" s="1"/>
      <c r="C526" s="1"/>
      <c r="D526" s="1"/>
      <c r="E526" s="1"/>
      <c r="F526" s="1"/>
      <c r="G526" s="1"/>
    </row>
    <row r="527" ht="12.75" customHeight="1">
      <c r="A527" s="1"/>
      <c r="B527" s="1"/>
      <c r="C527" s="1"/>
      <c r="D527" s="1"/>
      <c r="E527" s="1"/>
      <c r="F527" s="1"/>
      <c r="G527" s="1"/>
    </row>
    <row r="528" ht="12.75" customHeight="1">
      <c r="A528" s="1"/>
      <c r="B528" s="1"/>
      <c r="C528" s="1"/>
      <c r="D528" s="1"/>
      <c r="E528" s="1"/>
      <c r="F528" s="1"/>
      <c r="G528" s="1"/>
    </row>
    <row r="529" ht="12.75" customHeight="1">
      <c r="A529" s="1"/>
      <c r="B529" s="1"/>
      <c r="C529" s="1"/>
      <c r="D529" s="1"/>
      <c r="E529" s="1"/>
      <c r="F529" s="1"/>
      <c r="G529" s="1"/>
    </row>
    <row r="530" ht="12.75" customHeight="1">
      <c r="A530" s="1"/>
      <c r="B530" s="1"/>
      <c r="C530" s="1"/>
      <c r="D530" s="1"/>
      <c r="E530" s="1"/>
      <c r="F530" s="1"/>
      <c r="G530" s="1"/>
    </row>
    <row r="531" ht="12.75" customHeight="1">
      <c r="A531" s="1"/>
      <c r="B531" s="1"/>
      <c r="C531" s="1"/>
      <c r="D531" s="1"/>
      <c r="E531" s="1"/>
      <c r="F531" s="1"/>
      <c r="G531" s="1"/>
    </row>
    <row r="532" ht="12.75" customHeight="1">
      <c r="A532" s="1"/>
      <c r="B532" s="1"/>
      <c r="C532" s="1"/>
      <c r="D532" s="1"/>
      <c r="E532" s="1"/>
      <c r="F532" s="1"/>
      <c r="G532" s="1"/>
    </row>
    <row r="533" ht="12.75" customHeight="1">
      <c r="A533" s="1"/>
      <c r="B533" s="1"/>
      <c r="C533" s="1"/>
      <c r="D533" s="1"/>
      <c r="E533" s="1"/>
      <c r="F533" s="1"/>
      <c r="G533" s="1"/>
    </row>
    <row r="534" ht="12.75" customHeight="1">
      <c r="A534" s="1"/>
      <c r="B534" s="1"/>
      <c r="C534" s="1"/>
      <c r="D534" s="1"/>
      <c r="E534" s="1"/>
      <c r="F534" s="1"/>
      <c r="G534" s="1"/>
    </row>
    <row r="535" ht="12.75" customHeight="1">
      <c r="A535" s="1"/>
      <c r="B535" s="1"/>
      <c r="C535" s="1"/>
      <c r="D535" s="1"/>
      <c r="E535" s="1"/>
      <c r="F535" s="1"/>
      <c r="G535" s="1"/>
    </row>
    <row r="536" ht="12.75" customHeight="1">
      <c r="A536" s="1"/>
      <c r="B536" s="1"/>
      <c r="C536" s="1"/>
      <c r="D536" s="1"/>
      <c r="E536" s="1"/>
      <c r="F536" s="1"/>
      <c r="G536" s="1"/>
    </row>
    <row r="537" ht="12.75" customHeight="1">
      <c r="A537" s="1"/>
      <c r="B537" s="1"/>
      <c r="C537" s="1"/>
      <c r="D537" s="1"/>
      <c r="E537" s="1"/>
      <c r="F537" s="1"/>
      <c r="G537" s="1"/>
    </row>
    <row r="538" ht="12.75" customHeight="1">
      <c r="A538" s="1"/>
      <c r="B538" s="1"/>
      <c r="C538" s="1"/>
      <c r="D538" s="1"/>
      <c r="E538" s="1"/>
      <c r="F538" s="1"/>
      <c r="G538" s="1"/>
    </row>
    <row r="539" ht="12.75" customHeight="1">
      <c r="A539" s="1"/>
      <c r="B539" s="1"/>
      <c r="C539" s="1"/>
      <c r="D539" s="1"/>
      <c r="E539" s="1"/>
      <c r="F539" s="1"/>
      <c r="G539" s="1"/>
    </row>
    <row r="540" ht="12.75" customHeight="1">
      <c r="A540" s="1"/>
      <c r="B540" s="1"/>
      <c r="C540" s="1"/>
      <c r="D540" s="1"/>
      <c r="E540" s="1"/>
      <c r="F540" s="1"/>
      <c r="G540" s="1"/>
    </row>
    <row r="541" ht="12.75" customHeight="1">
      <c r="A541" s="1"/>
      <c r="B541" s="1"/>
      <c r="C541" s="1"/>
      <c r="D541" s="1"/>
      <c r="E541" s="1"/>
      <c r="F541" s="1"/>
      <c r="G541" s="1"/>
    </row>
    <row r="542" ht="12.75" customHeight="1">
      <c r="A542" s="1"/>
      <c r="B542" s="1"/>
      <c r="C542" s="1"/>
      <c r="D542" s="1"/>
      <c r="E542" s="1"/>
      <c r="F542" s="1"/>
      <c r="G542" s="1"/>
    </row>
    <row r="543" ht="12.75" customHeight="1">
      <c r="A543" s="1"/>
      <c r="B543" s="1"/>
      <c r="C543" s="1"/>
      <c r="D543" s="1"/>
      <c r="E543" s="1"/>
      <c r="F543" s="1"/>
      <c r="G543" s="1"/>
    </row>
    <row r="544" ht="12.75" customHeight="1">
      <c r="A544" s="1"/>
      <c r="B544" s="1"/>
      <c r="C544" s="1"/>
      <c r="D544" s="1"/>
      <c r="E544" s="1"/>
      <c r="F544" s="1"/>
      <c r="G544" s="1"/>
    </row>
    <row r="545" ht="12.75" customHeight="1">
      <c r="A545" s="1"/>
      <c r="B545" s="1"/>
      <c r="C545" s="1"/>
      <c r="D545" s="1"/>
      <c r="E545" s="1"/>
      <c r="F545" s="1"/>
      <c r="G545" s="1"/>
    </row>
    <row r="546" ht="12.75" customHeight="1">
      <c r="A546" s="1"/>
      <c r="B546" s="1"/>
      <c r="C546" s="1"/>
      <c r="D546" s="1"/>
      <c r="E546" s="1"/>
      <c r="F546" s="1"/>
      <c r="G546" s="1"/>
    </row>
    <row r="547" ht="12.75" customHeight="1">
      <c r="A547" s="1"/>
      <c r="B547" s="1"/>
      <c r="C547" s="1"/>
      <c r="D547" s="1"/>
      <c r="E547" s="1"/>
      <c r="F547" s="1"/>
      <c r="G547" s="1"/>
    </row>
    <row r="548" ht="12.75" customHeight="1">
      <c r="A548" s="1"/>
      <c r="B548" s="1"/>
      <c r="C548" s="1"/>
      <c r="D548" s="1"/>
      <c r="E548" s="1"/>
      <c r="F548" s="1"/>
      <c r="G548" s="1"/>
    </row>
    <row r="549" ht="12.75" customHeight="1">
      <c r="A549" s="1"/>
      <c r="B549" s="1"/>
      <c r="C549" s="1"/>
      <c r="D549" s="1"/>
      <c r="E549" s="1"/>
      <c r="F549" s="1"/>
      <c r="G549" s="1"/>
    </row>
    <row r="550" ht="12.75" customHeight="1">
      <c r="A550" s="1"/>
      <c r="B550" s="1"/>
      <c r="C550" s="1"/>
      <c r="D550" s="1"/>
      <c r="E550" s="1"/>
      <c r="F550" s="1"/>
      <c r="G550" s="1"/>
    </row>
    <row r="551" ht="12.75" customHeight="1">
      <c r="A551" s="1"/>
      <c r="B551" s="1"/>
      <c r="C551" s="1"/>
      <c r="D551" s="1"/>
      <c r="E551" s="1"/>
      <c r="F551" s="1"/>
      <c r="G551" s="1"/>
    </row>
    <row r="552" ht="12.75" customHeight="1">
      <c r="A552" s="1"/>
      <c r="B552" s="1"/>
      <c r="C552" s="1"/>
      <c r="D552" s="1"/>
      <c r="E552" s="1"/>
      <c r="F552" s="1"/>
      <c r="G552" s="1"/>
    </row>
    <row r="553" ht="12.75" customHeight="1">
      <c r="A553" s="1"/>
      <c r="B553" s="1"/>
      <c r="C553" s="1"/>
      <c r="D553" s="1"/>
      <c r="E553" s="1"/>
      <c r="F553" s="1"/>
      <c r="G553" s="1"/>
    </row>
    <row r="554" ht="12.75" customHeight="1">
      <c r="A554" s="1"/>
      <c r="B554" s="1"/>
      <c r="C554" s="1"/>
      <c r="D554" s="1"/>
      <c r="E554" s="1"/>
      <c r="F554" s="1"/>
      <c r="G554" s="1"/>
    </row>
    <row r="555" ht="12.75" customHeight="1">
      <c r="A555" s="1"/>
      <c r="B555" s="1"/>
      <c r="C555" s="1"/>
      <c r="D555" s="1"/>
      <c r="E555" s="1"/>
      <c r="F555" s="1"/>
      <c r="G555" s="1"/>
    </row>
    <row r="556" ht="12.75" customHeight="1">
      <c r="A556" s="1"/>
      <c r="B556" s="1"/>
      <c r="C556" s="1"/>
      <c r="D556" s="1"/>
      <c r="E556" s="1"/>
      <c r="F556" s="1"/>
      <c r="G556" s="1"/>
    </row>
    <row r="557" ht="12.75" customHeight="1">
      <c r="A557" s="1"/>
      <c r="B557" s="1"/>
      <c r="C557" s="1"/>
      <c r="D557" s="1"/>
      <c r="E557" s="1"/>
      <c r="F557" s="1"/>
      <c r="G557" s="1"/>
    </row>
    <row r="558" ht="12.75" customHeight="1">
      <c r="A558" s="1"/>
      <c r="B558" s="1"/>
      <c r="C558" s="1"/>
      <c r="D558" s="1"/>
      <c r="E558" s="1"/>
      <c r="F558" s="1"/>
      <c r="G558" s="1"/>
    </row>
    <row r="559" ht="12.75" customHeight="1">
      <c r="A559" s="1"/>
      <c r="B559" s="1"/>
      <c r="C559" s="1"/>
      <c r="D559" s="1"/>
      <c r="E559" s="1"/>
      <c r="F559" s="1"/>
      <c r="G559" s="1"/>
    </row>
    <row r="560" ht="12.75" customHeight="1">
      <c r="A560" s="1"/>
      <c r="B560" s="1"/>
      <c r="C560" s="1"/>
      <c r="D560" s="1"/>
      <c r="E560" s="1"/>
      <c r="F560" s="1"/>
      <c r="G560" s="1"/>
    </row>
    <row r="561" ht="12.75" customHeight="1">
      <c r="A561" s="1"/>
      <c r="B561" s="1"/>
      <c r="C561" s="1"/>
      <c r="D561" s="1"/>
      <c r="E561" s="1"/>
      <c r="F561" s="1"/>
      <c r="G561" s="1"/>
    </row>
    <row r="562" ht="12.75" customHeight="1">
      <c r="A562" s="1"/>
      <c r="B562" s="1"/>
      <c r="C562" s="1"/>
      <c r="D562" s="1"/>
      <c r="E562" s="1"/>
      <c r="F562" s="1"/>
      <c r="G562" s="1"/>
    </row>
    <row r="563" ht="12.75" customHeight="1">
      <c r="A563" s="1"/>
      <c r="B563" s="1"/>
      <c r="C563" s="1"/>
      <c r="D563" s="1"/>
      <c r="E563" s="1"/>
      <c r="F563" s="1"/>
      <c r="G563" s="1"/>
    </row>
    <row r="564" ht="12.75" customHeight="1">
      <c r="A564" s="1"/>
      <c r="B564" s="1"/>
      <c r="C564" s="1"/>
      <c r="D564" s="1"/>
      <c r="E564" s="1"/>
      <c r="F564" s="1"/>
      <c r="G564" s="1"/>
    </row>
    <row r="565" ht="12.75" customHeight="1">
      <c r="A565" s="1"/>
      <c r="B565" s="1"/>
      <c r="C565" s="1"/>
      <c r="D565" s="1"/>
      <c r="E565" s="1"/>
      <c r="F565" s="1"/>
      <c r="G565" s="1"/>
    </row>
    <row r="566" ht="12.75" customHeight="1">
      <c r="A566" s="1"/>
      <c r="B566" s="1"/>
      <c r="C566" s="1"/>
      <c r="D566" s="1"/>
      <c r="E566" s="1"/>
      <c r="F566" s="1"/>
      <c r="G566" s="1"/>
    </row>
    <row r="567" ht="12.75" customHeight="1">
      <c r="A567" s="1"/>
      <c r="B567" s="1"/>
      <c r="C567" s="1"/>
      <c r="D567" s="1"/>
      <c r="E567" s="1"/>
      <c r="F567" s="1"/>
      <c r="G567" s="1"/>
    </row>
    <row r="568" ht="12.75" customHeight="1">
      <c r="A568" s="1"/>
      <c r="B568" s="1"/>
      <c r="C568" s="1"/>
      <c r="D568" s="1"/>
      <c r="E568" s="1"/>
      <c r="F568" s="1"/>
      <c r="G568" s="1"/>
    </row>
    <row r="569" ht="12.75" customHeight="1">
      <c r="A569" s="1"/>
      <c r="B569" s="1"/>
      <c r="C569" s="1"/>
      <c r="D569" s="1"/>
      <c r="E569" s="1"/>
      <c r="F569" s="1"/>
      <c r="G569" s="1"/>
    </row>
    <row r="570" ht="12.75" customHeight="1">
      <c r="A570" s="1"/>
      <c r="B570" s="1"/>
      <c r="C570" s="1"/>
      <c r="D570" s="1"/>
      <c r="E570" s="1"/>
      <c r="F570" s="1"/>
      <c r="G570" s="1"/>
    </row>
    <row r="571" ht="12.75" customHeight="1">
      <c r="A571" s="1"/>
      <c r="B571" s="1"/>
      <c r="C571" s="1"/>
      <c r="D571" s="1"/>
      <c r="E571" s="1"/>
      <c r="F571" s="1"/>
      <c r="G571" s="1"/>
    </row>
    <row r="572" ht="12.75" customHeight="1">
      <c r="A572" s="1"/>
      <c r="B572" s="1"/>
      <c r="C572" s="1"/>
      <c r="D572" s="1"/>
      <c r="E572" s="1"/>
      <c r="F572" s="1"/>
      <c r="G572" s="1"/>
    </row>
    <row r="573" ht="12.75" customHeight="1">
      <c r="A573" s="1"/>
      <c r="B573" s="1"/>
      <c r="C573" s="1"/>
      <c r="D573" s="1"/>
      <c r="E573" s="1"/>
      <c r="F573" s="1"/>
      <c r="G573" s="1"/>
    </row>
    <row r="574" ht="12.75" customHeight="1">
      <c r="A574" s="1"/>
      <c r="B574" s="1"/>
      <c r="C574" s="1"/>
      <c r="D574" s="1"/>
      <c r="E574" s="1"/>
      <c r="F574" s="1"/>
      <c r="G574" s="1"/>
    </row>
    <row r="575" ht="12.75" customHeight="1">
      <c r="A575" s="1"/>
      <c r="B575" s="1"/>
      <c r="C575" s="1"/>
      <c r="D575" s="1"/>
      <c r="E575" s="1"/>
      <c r="F575" s="1"/>
      <c r="G575" s="1"/>
    </row>
    <row r="576" ht="12.75" customHeight="1">
      <c r="A576" s="1"/>
      <c r="B576" s="1"/>
      <c r="C576" s="1"/>
      <c r="D576" s="1"/>
      <c r="E576" s="1"/>
      <c r="F576" s="1"/>
      <c r="G576" s="1"/>
    </row>
    <row r="577" ht="12.75" customHeight="1">
      <c r="A577" s="1"/>
      <c r="B577" s="1"/>
      <c r="C577" s="1"/>
      <c r="D577" s="1"/>
      <c r="E577" s="1"/>
      <c r="F577" s="1"/>
      <c r="G577" s="1"/>
    </row>
    <row r="578" ht="12.75" customHeight="1">
      <c r="A578" s="1"/>
      <c r="B578" s="1"/>
      <c r="C578" s="1"/>
      <c r="D578" s="1"/>
      <c r="E578" s="1"/>
      <c r="F578" s="1"/>
      <c r="G578" s="1"/>
    </row>
    <row r="579" ht="12.75" customHeight="1">
      <c r="A579" s="1"/>
      <c r="B579" s="1"/>
      <c r="C579" s="1"/>
      <c r="D579" s="1"/>
      <c r="E579" s="1"/>
      <c r="F579" s="1"/>
      <c r="G579" s="1"/>
    </row>
    <row r="580" ht="12.75" customHeight="1">
      <c r="A580" s="1"/>
      <c r="B580" s="1"/>
      <c r="C580" s="1"/>
      <c r="D580" s="1"/>
      <c r="E580" s="1"/>
      <c r="F580" s="1"/>
      <c r="G580" s="1"/>
    </row>
    <row r="581" ht="12.75" customHeight="1">
      <c r="A581" s="1"/>
      <c r="B581" s="1"/>
      <c r="C581" s="1"/>
      <c r="D581" s="1"/>
      <c r="E581" s="1"/>
      <c r="F581" s="1"/>
      <c r="G581" s="1"/>
    </row>
    <row r="582" ht="12.75" customHeight="1">
      <c r="A582" s="1"/>
      <c r="B582" s="1"/>
      <c r="C582" s="1"/>
      <c r="D582" s="1"/>
      <c r="E582" s="1"/>
      <c r="F582" s="1"/>
      <c r="G582" s="1"/>
    </row>
    <row r="583" ht="12.75" customHeight="1">
      <c r="A583" s="1"/>
      <c r="B583" s="1"/>
      <c r="C583" s="1"/>
      <c r="D583" s="1"/>
      <c r="E583" s="1"/>
      <c r="F583" s="1"/>
      <c r="G583" s="1"/>
    </row>
    <row r="584" ht="12.75" customHeight="1">
      <c r="A584" s="1"/>
      <c r="B584" s="1"/>
      <c r="C584" s="1"/>
      <c r="D584" s="1"/>
      <c r="E584" s="1"/>
      <c r="F584" s="1"/>
      <c r="G584" s="1"/>
    </row>
    <row r="585" ht="12.75" customHeight="1">
      <c r="A585" s="1"/>
      <c r="B585" s="1"/>
      <c r="C585" s="1"/>
      <c r="D585" s="1"/>
      <c r="E585" s="1"/>
      <c r="F585" s="1"/>
      <c r="G585" s="1"/>
    </row>
    <row r="586" ht="12.75" customHeight="1">
      <c r="A586" s="1"/>
      <c r="B586" s="1"/>
      <c r="C586" s="1"/>
      <c r="D586" s="1"/>
      <c r="E586" s="1"/>
      <c r="F586" s="1"/>
      <c r="G586" s="1"/>
    </row>
    <row r="587" ht="12.75" customHeight="1">
      <c r="A587" s="1"/>
      <c r="B587" s="1"/>
      <c r="C587" s="1"/>
      <c r="D587" s="1"/>
      <c r="E587" s="1"/>
      <c r="F587" s="1"/>
      <c r="G587" s="1"/>
    </row>
    <row r="588" ht="12.75" customHeight="1">
      <c r="A588" s="1"/>
      <c r="B588" s="1"/>
      <c r="C588" s="1"/>
      <c r="D588" s="1"/>
      <c r="E588" s="1"/>
      <c r="F588" s="1"/>
      <c r="G588" s="1"/>
    </row>
    <row r="589" ht="12.75" customHeight="1">
      <c r="A589" s="1"/>
      <c r="B589" s="1"/>
      <c r="C589" s="1"/>
      <c r="D589" s="1"/>
      <c r="E589" s="1"/>
      <c r="F589" s="1"/>
      <c r="G589" s="1"/>
    </row>
    <row r="590" ht="12.75" customHeight="1">
      <c r="A590" s="1"/>
      <c r="B590" s="1"/>
      <c r="C590" s="1"/>
      <c r="D590" s="1"/>
      <c r="E590" s="1"/>
      <c r="F590" s="1"/>
      <c r="G590" s="1"/>
    </row>
    <row r="591" ht="12.75" customHeight="1">
      <c r="A591" s="1"/>
      <c r="B591" s="1"/>
      <c r="C591" s="1"/>
      <c r="D591" s="1"/>
      <c r="E591" s="1"/>
      <c r="F591" s="1"/>
      <c r="G591" s="1"/>
    </row>
    <row r="592" ht="12.75" customHeight="1">
      <c r="A592" s="1"/>
      <c r="B592" s="1"/>
      <c r="C592" s="1"/>
      <c r="D592" s="1"/>
      <c r="E592" s="1"/>
      <c r="F592" s="1"/>
      <c r="G592" s="1"/>
    </row>
    <row r="593" ht="12.75" customHeight="1">
      <c r="A593" s="1"/>
      <c r="B593" s="1"/>
      <c r="C593" s="1"/>
      <c r="D593" s="1"/>
      <c r="E593" s="1"/>
      <c r="F593" s="1"/>
      <c r="G593" s="1"/>
    </row>
    <row r="594" ht="12.75" customHeight="1">
      <c r="A594" s="1"/>
      <c r="B594" s="1"/>
      <c r="C594" s="1"/>
      <c r="D594" s="1"/>
      <c r="E594" s="1"/>
      <c r="F594" s="1"/>
      <c r="G594" s="1"/>
    </row>
    <row r="595" ht="12.75" customHeight="1">
      <c r="A595" s="1"/>
      <c r="B595" s="1"/>
      <c r="C595" s="1"/>
      <c r="D595" s="1"/>
      <c r="E595" s="1"/>
      <c r="F595" s="1"/>
      <c r="G595" s="1"/>
    </row>
    <row r="596" ht="12.75" customHeight="1">
      <c r="A596" s="1"/>
      <c r="B596" s="1"/>
      <c r="C596" s="1"/>
      <c r="D596" s="1"/>
      <c r="E596" s="1"/>
      <c r="F596" s="1"/>
      <c r="G596" s="1"/>
    </row>
    <row r="597" ht="12.75" customHeight="1">
      <c r="A597" s="1"/>
      <c r="B597" s="1"/>
      <c r="C597" s="1"/>
      <c r="D597" s="1"/>
      <c r="E597" s="1"/>
      <c r="F597" s="1"/>
      <c r="G597" s="1"/>
    </row>
    <row r="598" ht="12.75" customHeight="1">
      <c r="A598" s="1"/>
      <c r="B598" s="1"/>
      <c r="C598" s="1"/>
      <c r="D598" s="1"/>
      <c r="E598" s="1"/>
      <c r="F598" s="1"/>
      <c r="G598" s="1"/>
    </row>
    <row r="599" ht="12.75" customHeight="1">
      <c r="A599" s="1"/>
      <c r="B599" s="1"/>
      <c r="C599" s="1"/>
      <c r="D599" s="1"/>
      <c r="E599" s="1"/>
      <c r="F599" s="1"/>
      <c r="G599" s="1"/>
    </row>
    <row r="600" ht="12.75" customHeight="1">
      <c r="A600" s="1"/>
      <c r="B600" s="1"/>
      <c r="C600" s="1"/>
      <c r="D600" s="1"/>
      <c r="E600" s="1"/>
      <c r="F600" s="1"/>
      <c r="G600" s="1"/>
    </row>
    <row r="601" ht="12.75" customHeight="1">
      <c r="A601" s="1"/>
      <c r="B601" s="1"/>
      <c r="C601" s="1"/>
      <c r="D601" s="1"/>
      <c r="E601" s="1"/>
      <c r="F601" s="1"/>
      <c r="G601" s="1"/>
    </row>
    <row r="602" ht="12.75" customHeight="1">
      <c r="A602" s="1"/>
      <c r="B602" s="1"/>
      <c r="C602" s="1"/>
      <c r="D602" s="1"/>
      <c r="E602" s="1"/>
      <c r="F602" s="1"/>
      <c r="G602" s="1"/>
    </row>
    <row r="603" ht="12.75" customHeight="1">
      <c r="A603" s="1"/>
      <c r="B603" s="1"/>
      <c r="C603" s="1"/>
      <c r="D603" s="1"/>
      <c r="E603" s="1"/>
      <c r="F603" s="1"/>
      <c r="G603" s="1"/>
    </row>
    <row r="604" ht="12.75" customHeight="1">
      <c r="A604" s="1"/>
      <c r="B604" s="1"/>
      <c r="C604" s="1"/>
      <c r="D604" s="1"/>
      <c r="E604" s="1"/>
      <c r="F604" s="1"/>
      <c r="G604" s="1"/>
    </row>
    <row r="605" ht="12.75" customHeight="1">
      <c r="A605" s="1"/>
      <c r="B605" s="1"/>
      <c r="C605" s="1"/>
      <c r="D605" s="1"/>
      <c r="E605" s="1"/>
      <c r="F605" s="1"/>
      <c r="G605" s="1"/>
    </row>
    <row r="606" ht="12.75" customHeight="1">
      <c r="A606" s="1"/>
      <c r="B606" s="1"/>
      <c r="C606" s="1"/>
      <c r="D606" s="1"/>
      <c r="E606" s="1"/>
      <c r="F606" s="1"/>
      <c r="G606" s="1"/>
    </row>
    <row r="607" ht="12.75" customHeight="1">
      <c r="A607" s="1"/>
      <c r="B607" s="1"/>
      <c r="C607" s="1"/>
      <c r="D607" s="1"/>
      <c r="E607" s="1"/>
      <c r="F607" s="1"/>
      <c r="G607" s="1"/>
    </row>
    <row r="608" ht="12.75" customHeight="1">
      <c r="A608" s="1"/>
      <c r="B608" s="1"/>
      <c r="C608" s="1"/>
      <c r="D608" s="1"/>
      <c r="E608" s="1"/>
      <c r="F608" s="1"/>
      <c r="G608" s="1"/>
    </row>
    <row r="609" ht="12.75" customHeight="1">
      <c r="A609" s="1"/>
      <c r="B609" s="1"/>
      <c r="C609" s="1"/>
      <c r="D609" s="1"/>
      <c r="E609" s="1"/>
      <c r="F609" s="1"/>
      <c r="G609" s="1"/>
    </row>
    <row r="610" ht="12.75" customHeight="1">
      <c r="A610" s="1"/>
      <c r="B610" s="1"/>
      <c r="C610" s="1"/>
      <c r="D610" s="1"/>
      <c r="E610" s="1"/>
      <c r="F610" s="1"/>
      <c r="G610" s="1"/>
    </row>
    <row r="611" ht="12.75" customHeight="1">
      <c r="A611" s="1"/>
      <c r="B611" s="1"/>
      <c r="C611" s="1"/>
      <c r="D611" s="1"/>
      <c r="E611" s="1"/>
      <c r="F611" s="1"/>
      <c r="G611" s="1"/>
    </row>
    <row r="612" ht="12.75" customHeight="1">
      <c r="A612" s="1"/>
      <c r="B612" s="1"/>
      <c r="C612" s="1"/>
      <c r="D612" s="1"/>
      <c r="E612" s="1"/>
      <c r="F612" s="1"/>
      <c r="G612" s="1"/>
    </row>
    <row r="613" ht="12.75" customHeight="1">
      <c r="A613" s="1"/>
      <c r="B613" s="1"/>
      <c r="C613" s="1"/>
      <c r="D613" s="1"/>
      <c r="E613" s="1"/>
      <c r="F613" s="1"/>
      <c r="G613" s="1"/>
    </row>
    <row r="614" ht="12.75" customHeight="1">
      <c r="A614" s="1"/>
      <c r="B614" s="1"/>
      <c r="C614" s="1"/>
      <c r="D614" s="1"/>
      <c r="E614" s="1"/>
      <c r="F614" s="1"/>
      <c r="G614" s="1"/>
    </row>
    <row r="615" ht="12.75" customHeight="1">
      <c r="A615" s="1"/>
      <c r="B615" s="1"/>
      <c r="C615" s="1"/>
      <c r="D615" s="1"/>
      <c r="E615" s="1"/>
      <c r="F615" s="1"/>
      <c r="G615" s="1"/>
    </row>
    <row r="616" ht="12.75" customHeight="1">
      <c r="A616" s="1"/>
      <c r="B616" s="1"/>
      <c r="C616" s="1"/>
      <c r="D616" s="1"/>
      <c r="E616" s="1"/>
      <c r="F616" s="1"/>
      <c r="G616" s="1"/>
    </row>
    <row r="617" ht="12.75" customHeight="1">
      <c r="A617" s="1"/>
      <c r="B617" s="1"/>
      <c r="C617" s="1"/>
      <c r="D617" s="1"/>
      <c r="E617" s="1"/>
      <c r="F617" s="1"/>
      <c r="G617" s="1"/>
    </row>
    <row r="618" ht="12.75" customHeight="1">
      <c r="A618" s="1"/>
      <c r="B618" s="1"/>
      <c r="C618" s="1"/>
      <c r="D618" s="1"/>
      <c r="E618" s="1"/>
      <c r="F618" s="1"/>
      <c r="G618" s="1"/>
    </row>
    <row r="619" ht="12.75" customHeight="1">
      <c r="A619" s="1"/>
      <c r="B619" s="1"/>
      <c r="C619" s="1"/>
      <c r="D619" s="1"/>
      <c r="E619" s="1"/>
      <c r="F619" s="1"/>
      <c r="G619" s="1"/>
    </row>
    <row r="620" ht="12.75" customHeight="1">
      <c r="A620" s="1"/>
      <c r="B620" s="1"/>
      <c r="C620" s="1"/>
      <c r="D620" s="1"/>
      <c r="E620" s="1"/>
      <c r="F620" s="1"/>
      <c r="G620" s="1"/>
    </row>
    <row r="621" ht="12.75" customHeight="1">
      <c r="A621" s="1"/>
      <c r="B621" s="1"/>
      <c r="C621" s="1"/>
      <c r="D621" s="1"/>
      <c r="E621" s="1"/>
      <c r="F621" s="1"/>
      <c r="G621" s="1"/>
    </row>
    <row r="622" ht="12.75" customHeight="1">
      <c r="A622" s="1"/>
      <c r="B622" s="1"/>
      <c r="C622" s="1"/>
      <c r="D622" s="1"/>
      <c r="E622" s="1"/>
      <c r="F622" s="1"/>
      <c r="G622" s="1"/>
    </row>
    <row r="623" ht="12.75" customHeight="1">
      <c r="A623" s="1"/>
      <c r="B623" s="1"/>
      <c r="C623" s="1"/>
      <c r="D623" s="1"/>
      <c r="E623" s="1"/>
      <c r="F623" s="1"/>
      <c r="G623" s="1"/>
    </row>
    <row r="624" ht="12.75" customHeight="1">
      <c r="A624" s="1"/>
      <c r="B624" s="1"/>
      <c r="C624" s="1"/>
      <c r="D624" s="1"/>
      <c r="E624" s="1"/>
      <c r="F624" s="1"/>
      <c r="G624" s="1"/>
    </row>
    <row r="625" ht="12.75" customHeight="1">
      <c r="A625" s="1"/>
      <c r="B625" s="1"/>
      <c r="C625" s="1"/>
      <c r="D625" s="1"/>
      <c r="E625" s="1"/>
      <c r="F625" s="1"/>
      <c r="G625" s="1"/>
    </row>
    <row r="626" ht="12.75" customHeight="1">
      <c r="A626" s="1"/>
      <c r="B626" s="1"/>
      <c r="C626" s="1"/>
      <c r="D626" s="1"/>
      <c r="E626" s="1"/>
      <c r="F626" s="1"/>
      <c r="G626" s="1"/>
    </row>
    <row r="627" ht="12.75" customHeight="1">
      <c r="A627" s="1"/>
      <c r="B627" s="1"/>
      <c r="C627" s="1"/>
      <c r="D627" s="1"/>
      <c r="E627" s="1"/>
      <c r="F627" s="1"/>
      <c r="G627" s="1"/>
    </row>
    <row r="628" ht="12.75" customHeight="1">
      <c r="A628" s="1"/>
      <c r="B628" s="1"/>
      <c r="C628" s="1"/>
      <c r="D628" s="1"/>
      <c r="E628" s="1"/>
      <c r="F628" s="1"/>
      <c r="G628" s="1"/>
    </row>
    <row r="629" ht="12.75" customHeight="1">
      <c r="A629" s="1"/>
      <c r="B629" s="1"/>
      <c r="C629" s="1"/>
      <c r="D629" s="1"/>
      <c r="E629" s="1"/>
      <c r="F629" s="1"/>
      <c r="G629" s="1"/>
    </row>
    <row r="630" ht="12.75" customHeight="1">
      <c r="A630" s="1"/>
      <c r="B630" s="1"/>
      <c r="C630" s="1"/>
      <c r="D630" s="1"/>
      <c r="E630" s="1"/>
      <c r="F630" s="1"/>
      <c r="G630" s="1"/>
    </row>
    <row r="631" ht="12.75" customHeight="1">
      <c r="A631" s="1"/>
      <c r="B631" s="1"/>
      <c r="C631" s="1"/>
      <c r="D631" s="1"/>
      <c r="E631" s="1"/>
      <c r="F631" s="1"/>
      <c r="G631" s="1"/>
    </row>
    <row r="632" ht="12.75" customHeight="1">
      <c r="A632" s="1"/>
      <c r="B632" s="1"/>
      <c r="C632" s="1"/>
      <c r="D632" s="1"/>
      <c r="E632" s="1"/>
      <c r="F632" s="1"/>
      <c r="G632" s="1"/>
    </row>
    <row r="633" ht="12.75" customHeight="1">
      <c r="A633" s="1"/>
      <c r="B633" s="1"/>
      <c r="C633" s="1"/>
      <c r="D633" s="1"/>
      <c r="E633" s="1"/>
      <c r="F633" s="1"/>
      <c r="G633" s="1"/>
    </row>
    <row r="634" ht="12.75" customHeight="1">
      <c r="A634" s="1"/>
      <c r="B634" s="1"/>
      <c r="C634" s="1"/>
      <c r="D634" s="1"/>
      <c r="E634" s="1"/>
      <c r="F634" s="1"/>
      <c r="G634" s="1"/>
    </row>
    <row r="635" ht="12.75" customHeight="1">
      <c r="A635" s="1"/>
      <c r="B635" s="1"/>
      <c r="C635" s="1"/>
      <c r="D635" s="1"/>
      <c r="E635" s="1"/>
      <c r="F635" s="1"/>
      <c r="G635" s="1"/>
    </row>
    <row r="636" ht="12.75" customHeight="1">
      <c r="A636" s="1"/>
      <c r="B636" s="1"/>
      <c r="C636" s="1"/>
      <c r="D636" s="1"/>
      <c r="E636" s="1"/>
      <c r="F636" s="1"/>
      <c r="G636" s="1"/>
    </row>
    <row r="637" ht="12.75" customHeight="1">
      <c r="A637" s="1"/>
      <c r="B637" s="1"/>
      <c r="C637" s="1"/>
      <c r="D637" s="1"/>
      <c r="E637" s="1"/>
      <c r="F637" s="1"/>
      <c r="G637" s="1"/>
    </row>
    <row r="638" ht="12.75" customHeight="1">
      <c r="A638" s="1"/>
      <c r="B638" s="1"/>
      <c r="C638" s="1"/>
      <c r="D638" s="1"/>
      <c r="E638" s="1"/>
      <c r="F638" s="1"/>
      <c r="G638" s="1"/>
    </row>
    <row r="639" ht="12.75" customHeight="1">
      <c r="A639" s="1"/>
      <c r="B639" s="1"/>
      <c r="C639" s="1"/>
      <c r="D639" s="1"/>
      <c r="E639" s="1"/>
      <c r="F639" s="1"/>
      <c r="G639" s="1"/>
    </row>
    <row r="640" ht="12.75" customHeight="1">
      <c r="A640" s="1"/>
      <c r="B640" s="1"/>
      <c r="C640" s="1"/>
      <c r="D640" s="1"/>
      <c r="E640" s="1"/>
      <c r="F640" s="1"/>
      <c r="G640" s="1"/>
    </row>
    <row r="641" ht="12.75" customHeight="1">
      <c r="A641" s="1"/>
      <c r="B641" s="1"/>
      <c r="C641" s="1"/>
      <c r="D641" s="1"/>
      <c r="E641" s="1"/>
      <c r="F641" s="1"/>
      <c r="G641" s="1"/>
    </row>
    <row r="642" ht="12.75" customHeight="1">
      <c r="A642" s="1"/>
      <c r="B642" s="1"/>
      <c r="C642" s="1"/>
      <c r="D642" s="1"/>
      <c r="E642" s="1"/>
      <c r="F642" s="1"/>
      <c r="G642" s="1"/>
    </row>
    <row r="643" ht="12.75" customHeight="1">
      <c r="A643" s="1"/>
      <c r="B643" s="1"/>
      <c r="C643" s="1"/>
      <c r="D643" s="1"/>
      <c r="E643" s="1"/>
      <c r="F643" s="1"/>
      <c r="G643" s="1"/>
    </row>
    <row r="644" ht="12.75" customHeight="1">
      <c r="A644" s="1"/>
      <c r="B644" s="1"/>
      <c r="C644" s="1"/>
      <c r="D644" s="1"/>
      <c r="E644" s="1"/>
      <c r="F644" s="1"/>
      <c r="G644" s="1"/>
    </row>
    <row r="645" ht="12.75" customHeight="1">
      <c r="A645" s="1"/>
      <c r="B645" s="1"/>
      <c r="C645" s="1"/>
      <c r="D645" s="1"/>
      <c r="E645" s="1"/>
      <c r="F645" s="1"/>
      <c r="G645" s="1"/>
    </row>
    <row r="646" ht="12.75" customHeight="1">
      <c r="A646" s="1"/>
      <c r="B646" s="1"/>
      <c r="C646" s="1"/>
      <c r="D646" s="1"/>
      <c r="E646" s="1"/>
      <c r="F646" s="1"/>
      <c r="G646" s="1"/>
    </row>
    <row r="647" ht="12.75" customHeight="1">
      <c r="A647" s="1"/>
      <c r="B647" s="1"/>
      <c r="C647" s="1"/>
      <c r="D647" s="1"/>
      <c r="E647" s="1"/>
      <c r="F647" s="1"/>
      <c r="G647" s="1"/>
    </row>
    <row r="648" ht="12.75" customHeight="1">
      <c r="A648" s="1"/>
      <c r="B648" s="1"/>
      <c r="C648" s="1"/>
      <c r="D648" s="1"/>
      <c r="E648" s="1"/>
      <c r="F648" s="1"/>
      <c r="G648" s="1"/>
    </row>
    <row r="649" ht="12.75" customHeight="1">
      <c r="A649" s="1"/>
      <c r="B649" s="1"/>
      <c r="C649" s="1"/>
      <c r="D649" s="1"/>
      <c r="E649" s="1"/>
      <c r="F649" s="1"/>
      <c r="G649" s="1"/>
    </row>
    <row r="650" ht="12.75" customHeight="1">
      <c r="A650" s="1"/>
      <c r="B650" s="1"/>
      <c r="C650" s="1"/>
      <c r="D650" s="1"/>
      <c r="E650" s="1"/>
      <c r="F650" s="1"/>
      <c r="G650" s="1"/>
    </row>
    <row r="651" ht="12.75" customHeight="1">
      <c r="A651" s="1"/>
      <c r="B651" s="1"/>
      <c r="C651" s="1"/>
      <c r="D651" s="1"/>
      <c r="E651" s="1"/>
      <c r="F651" s="1"/>
      <c r="G651" s="1"/>
    </row>
    <row r="652" ht="12.75" customHeight="1">
      <c r="A652" s="1"/>
      <c r="B652" s="1"/>
      <c r="C652" s="1"/>
      <c r="D652" s="1"/>
      <c r="E652" s="1"/>
      <c r="F652" s="1"/>
      <c r="G652" s="1"/>
    </row>
    <row r="653" ht="12.75" customHeight="1">
      <c r="A653" s="1"/>
      <c r="B653" s="1"/>
      <c r="C653" s="1"/>
      <c r="D653" s="1"/>
      <c r="E653" s="1"/>
      <c r="F653" s="1"/>
      <c r="G653" s="1"/>
    </row>
    <row r="654" ht="12.75" customHeight="1">
      <c r="A654" s="1"/>
      <c r="B654" s="1"/>
      <c r="C654" s="1"/>
      <c r="D654" s="1"/>
      <c r="E654" s="1"/>
      <c r="F654" s="1"/>
      <c r="G654" s="1"/>
    </row>
    <row r="655" ht="12.75" customHeight="1">
      <c r="A655" s="1"/>
      <c r="B655" s="1"/>
      <c r="C655" s="1"/>
      <c r="D655" s="1"/>
      <c r="E655" s="1"/>
      <c r="F655" s="1"/>
      <c r="G655" s="1"/>
    </row>
    <row r="656" ht="12.75" customHeight="1">
      <c r="A656" s="1"/>
      <c r="B656" s="1"/>
      <c r="C656" s="1"/>
      <c r="D656" s="1"/>
      <c r="E656" s="1"/>
      <c r="F656" s="1"/>
      <c r="G656" s="1"/>
    </row>
    <row r="657" ht="12.75" customHeight="1">
      <c r="A657" s="1"/>
      <c r="B657" s="1"/>
      <c r="C657" s="1"/>
      <c r="D657" s="1"/>
      <c r="E657" s="1"/>
      <c r="F657" s="1"/>
      <c r="G657" s="1"/>
    </row>
    <row r="658" ht="12.75" customHeight="1">
      <c r="A658" s="1"/>
      <c r="B658" s="1"/>
      <c r="C658" s="1"/>
      <c r="D658" s="1"/>
      <c r="E658" s="1"/>
      <c r="F658" s="1"/>
      <c r="G658" s="1"/>
    </row>
    <row r="659" ht="12.75" customHeight="1">
      <c r="A659" s="1"/>
      <c r="B659" s="1"/>
      <c r="C659" s="1"/>
      <c r="D659" s="1"/>
      <c r="E659" s="1"/>
      <c r="F659" s="1"/>
      <c r="G659" s="1"/>
    </row>
    <row r="660" ht="12.75" customHeight="1">
      <c r="A660" s="1"/>
      <c r="B660" s="1"/>
      <c r="C660" s="1"/>
      <c r="D660" s="1"/>
      <c r="E660" s="1"/>
      <c r="F660" s="1"/>
      <c r="G660" s="1"/>
    </row>
    <row r="661" ht="12.75" customHeight="1">
      <c r="A661" s="1"/>
      <c r="B661" s="1"/>
      <c r="C661" s="1"/>
      <c r="D661" s="1"/>
      <c r="E661" s="1"/>
      <c r="F661" s="1"/>
      <c r="G661" s="1"/>
    </row>
    <row r="662" ht="12.75" customHeight="1">
      <c r="A662" s="1"/>
      <c r="B662" s="1"/>
      <c r="C662" s="1"/>
      <c r="D662" s="1"/>
      <c r="E662" s="1"/>
      <c r="F662" s="1"/>
      <c r="G662" s="1"/>
    </row>
    <row r="663" ht="12.75" customHeight="1">
      <c r="A663" s="1"/>
      <c r="B663" s="1"/>
      <c r="C663" s="1"/>
      <c r="D663" s="1"/>
      <c r="E663" s="1"/>
      <c r="F663" s="1"/>
      <c r="G663" s="1"/>
    </row>
    <row r="664" ht="12.75" customHeight="1">
      <c r="A664" s="1"/>
      <c r="B664" s="1"/>
      <c r="C664" s="1"/>
      <c r="D664" s="1"/>
      <c r="E664" s="1"/>
      <c r="F664" s="1"/>
      <c r="G664" s="1"/>
    </row>
    <row r="665" ht="12.75" customHeight="1">
      <c r="A665" s="1"/>
      <c r="B665" s="1"/>
      <c r="C665" s="1"/>
      <c r="D665" s="1"/>
      <c r="E665" s="1"/>
      <c r="F665" s="1"/>
      <c r="G665" s="1"/>
    </row>
    <row r="666" ht="12.75" customHeight="1">
      <c r="A666" s="1"/>
      <c r="B666" s="1"/>
      <c r="C666" s="1"/>
      <c r="D666" s="1"/>
      <c r="E666" s="1"/>
      <c r="F666" s="1"/>
      <c r="G666" s="1"/>
    </row>
    <row r="667" ht="12.75" customHeight="1">
      <c r="A667" s="1"/>
      <c r="B667" s="1"/>
      <c r="C667" s="1"/>
      <c r="D667" s="1"/>
      <c r="E667" s="1"/>
      <c r="F667" s="1"/>
      <c r="G667" s="1"/>
    </row>
    <row r="668" ht="12.75" customHeight="1">
      <c r="A668" s="1"/>
      <c r="B668" s="1"/>
      <c r="C668" s="1"/>
      <c r="D668" s="1"/>
      <c r="E668" s="1"/>
      <c r="F668" s="1"/>
      <c r="G668" s="1"/>
    </row>
    <row r="669" ht="12.75" customHeight="1">
      <c r="A669" s="1"/>
      <c r="B669" s="1"/>
      <c r="C669" s="1"/>
      <c r="D669" s="1"/>
      <c r="E669" s="1"/>
      <c r="F669" s="1"/>
      <c r="G669" s="1"/>
    </row>
    <row r="670" ht="12.75" customHeight="1">
      <c r="A670" s="1"/>
      <c r="B670" s="1"/>
      <c r="C670" s="1"/>
      <c r="D670" s="1"/>
      <c r="E670" s="1"/>
      <c r="F670" s="1"/>
      <c r="G670" s="1"/>
    </row>
    <row r="671" ht="12.75" customHeight="1">
      <c r="A671" s="1"/>
      <c r="B671" s="1"/>
      <c r="C671" s="1"/>
      <c r="D671" s="1"/>
      <c r="E671" s="1"/>
      <c r="F671" s="1"/>
      <c r="G671" s="1"/>
    </row>
    <row r="672" ht="12.75" customHeight="1">
      <c r="A672" s="1"/>
      <c r="B672" s="1"/>
      <c r="C672" s="1"/>
      <c r="D672" s="1"/>
      <c r="E672" s="1"/>
      <c r="F672" s="1"/>
      <c r="G672" s="1"/>
    </row>
    <row r="673" ht="12.75" customHeight="1">
      <c r="A673" s="1"/>
      <c r="B673" s="1"/>
      <c r="C673" s="1"/>
      <c r="D673" s="1"/>
      <c r="E673" s="1"/>
      <c r="F673" s="1"/>
      <c r="G673" s="1"/>
    </row>
    <row r="674" ht="12.75" customHeight="1">
      <c r="A674" s="1"/>
      <c r="B674" s="1"/>
      <c r="C674" s="1"/>
      <c r="D674" s="1"/>
      <c r="E674" s="1"/>
      <c r="F674" s="1"/>
      <c r="G674" s="1"/>
    </row>
    <row r="675" ht="12.75" customHeight="1">
      <c r="A675" s="1"/>
      <c r="B675" s="1"/>
      <c r="C675" s="1"/>
      <c r="D675" s="1"/>
      <c r="E675" s="1"/>
      <c r="F675" s="1"/>
      <c r="G675" s="1"/>
    </row>
    <row r="676" ht="12.75" customHeight="1">
      <c r="A676" s="1"/>
      <c r="B676" s="1"/>
      <c r="C676" s="1"/>
      <c r="D676" s="1"/>
      <c r="E676" s="1"/>
      <c r="F676" s="1"/>
      <c r="G676" s="1"/>
    </row>
    <row r="677" ht="12.75" customHeight="1">
      <c r="A677" s="1"/>
      <c r="B677" s="1"/>
      <c r="C677" s="1"/>
      <c r="D677" s="1"/>
      <c r="E677" s="1"/>
      <c r="F677" s="1"/>
      <c r="G677" s="1"/>
    </row>
    <row r="678" ht="12.75" customHeight="1">
      <c r="A678" s="1"/>
      <c r="B678" s="1"/>
      <c r="C678" s="1"/>
      <c r="D678" s="1"/>
      <c r="E678" s="1"/>
      <c r="F678" s="1"/>
      <c r="G678" s="1"/>
    </row>
    <row r="679" ht="12.75" customHeight="1">
      <c r="A679" s="1"/>
      <c r="B679" s="1"/>
      <c r="C679" s="1"/>
      <c r="D679" s="1"/>
      <c r="E679" s="1"/>
      <c r="F679" s="1"/>
      <c r="G679" s="1"/>
    </row>
    <row r="680" ht="12.75" customHeight="1">
      <c r="A680" s="1"/>
      <c r="B680" s="1"/>
      <c r="C680" s="1"/>
      <c r="D680" s="1"/>
      <c r="E680" s="1"/>
      <c r="F680" s="1"/>
      <c r="G680" s="1"/>
    </row>
    <row r="681" ht="12.75" customHeight="1">
      <c r="A681" s="1"/>
      <c r="B681" s="1"/>
      <c r="C681" s="1"/>
      <c r="D681" s="1"/>
      <c r="E681" s="1"/>
      <c r="F681" s="1"/>
      <c r="G681" s="1"/>
    </row>
    <row r="682" ht="12.75" customHeight="1">
      <c r="A682" s="1"/>
      <c r="B682" s="1"/>
      <c r="C682" s="1"/>
      <c r="D682" s="1"/>
      <c r="E682" s="1"/>
      <c r="F682" s="1"/>
      <c r="G682" s="1"/>
    </row>
    <row r="683" ht="12.75" customHeight="1">
      <c r="A683" s="1"/>
      <c r="B683" s="1"/>
      <c r="C683" s="1"/>
      <c r="D683" s="1"/>
      <c r="E683" s="1"/>
      <c r="F683" s="1"/>
      <c r="G683" s="1"/>
    </row>
    <row r="684" ht="12.75" customHeight="1">
      <c r="A684" s="1"/>
      <c r="B684" s="1"/>
      <c r="C684" s="1"/>
      <c r="D684" s="1"/>
      <c r="E684" s="1"/>
      <c r="F684" s="1"/>
      <c r="G684" s="1"/>
    </row>
    <row r="685" ht="12.75" customHeight="1">
      <c r="A685" s="1"/>
      <c r="B685" s="1"/>
      <c r="C685" s="1"/>
      <c r="D685" s="1"/>
      <c r="E685" s="1"/>
      <c r="F685" s="1"/>
      <c r="G685" s="1"/>
    </row>
    <row r="686" ht="12.75" customHeight="1">
      <c r="A686" s="1"/>
      <c r="B686" s="1"/>
      <c r="C686" s="1"/>
      <c r="D686" s="1"/>
      <c r="E686" s="1"/>
      <c r="F686" s="1"/>
      <c r="G686" s="1"/>
    </row>
    <row r="687" ht="12.75" customHeight="1">
      <c r="A687" s="1"/>
      <c r="B687" s="1"/>
      <c r="C687" s="1"/>
      <c r="D687" s="1"/>
      <c r="E687" s="1"/>
      <c r="F687" s="1"/>
      <c r="G687" s="1"/>
    </row>
    <row r="688" ht="12.75" customHeight="1">
      <c r="A688" s="1"/>
      <c r="B688" s="1"/>
      <c r="C688" s="1"/>
      <c r="D688" s="1"/>
      <c r="E688" s="1"/>
      <c r="F688" s="1"/>
      <c r="G688" s="1"/>
    </row>
    <row r="689" ht="12.75" customHeight="1">
      <c r="A689" s="1"/>
      <c r="B689" s="1"/>
      <c r="C689" s="1"/>
      <c r="D689" s="1"/>
      <c r="E689" s="1"/>
      <c r="F689" s="1"/>
      <c r="G689" s="1"/>
    </row>
    <row r="690" ht="12.75" customHeight="1">
      <c r="A690" s="1"/>
      <c r="B690" s="1"/>
      <c r="C690" s="1"/>
      <c r="D690" s="1"/>
      <c r="E690" s="1"/>
      <c r="F690" s="1"/>
      <c r="G690" s="1"/>
    </row>
    <row r="691" ht="12.75" customHeight="1">
      <c r="A691" s="1"/>
      <c r="B691" s="1"/>
      <c r="C691" s="1"/>
      <c r="D691" s="1"/>
      <c r="E691" s="1"/>
      <c r="F691" s="1"/>
      <c r="G691" s="1"/>
    </row>
    <row r="692" ht="12.75" customHeight="1">
      <c r="A692" s="1"/>
      <c r="B692" s="1"/>
      <c r="C692" s="1"/>
      <c r="D692" s="1"/>
      <c r="E692" s="1"/>
      <c r="F692" s="1"/>
      <c r="G692" s="1"/>
    </row>
    <row r="693" ht="12.75" customHeight="1">
      <c r="A693" s="1"/>
      <c r="B693" s="1"/>
      <c r="C693" s="1"/>
      <c r="D693" s="1"/>
      <c r="E693" s="1"/>
      <c r="F693" s="1"/>
      <c r="G693" s="1"/>
    </row>
    <row r="694" ht="12.75" customHeight="1">
      <c r="A694" s="1"/>
      <c r="B694" s="1"/>
      <c r="C694" s="1"/>
      <c r="D694" s="1"/>
      <c r="E694" s="1"/>
      <c r="F694" s="1"/>
      <c r="G694" s="1"/>
    </row>
    <row r="695" ht="12.75" customHeight="1">
      <c r="A695" s="1"/>
      <c r="B695" s="1"/>
      <c r="C695" s="1"/>
      <c r="D695" s="1"/>
      <c r="E695" s="1"/>
      <c r="F695" s="1"/>
      <c r="G695" s="1"/>
    </row>
    <row r="696" ht="12.75" customHeight="1">
      <c r="A696" s="1"/>
      <c r="B696" s="1"/>
      <c r="C696" s="1"/>
      <c r="D696" s="1"/>
      <c r="E696" s="1"/>
      <c r="F696" s="1"/>
      <c r="G696" s="1"/>
    </row>
    <row r="697" ht="12.75" customHeight="1">
      <c r="A697" s="1"/>
      <c r="B697" s="1"/>
      <c r="C697" s="1"/>
      <c r="D697" s="1"/>
      <c r="E697" s="1"/>
      <c r="F697" s="1"/>
      <c r="G697" s="1"/>
    </row>
    <row r="698" ht="12.75" customHeight="1">
      <c r="A698" s="1"/>
      <c r="B698" s="1"/>
      <c r="C698" s="1"/>
      <c r="D698" s="1"/>
      <c r="E698" s="1"/>
      <c r="F698" s="1"/>
      <c r="G698" s="1"/>
    </row>
    <row r="699" ht="12.75" customHeight="1">
      <c r="A699" s="1"/>
      <c r="B699" s="1"/>
      <c r="C699" s="1"/>
      <c r="D699" s="1"/>
      <c r="E699" s="1"/>
      <c r="F699" s="1"/>
      <c r="G699" s="1"/>
    </row>
    <row r="700" ht="12.75" customHeight="1">
      <c r="A700" s="1"/>
      <c r="B700" s="1"/>
      <c r="C700" s="1"/>
      <c r="D700" s="1"/>
      <c r="E700" s="1"/>
      <c r="F700" s="1"/>
      <c r="G700" s="1"/>
    </row>
    <row r="701" ht="12.75" customHeight="1">
      <c r="A701" s="1"/>
      <c r="B701" s="1"/>
      <c r="C701" s="1"/>
      <c r="D701" s="1"/>
      <c r="E701" s="1"/>
      <c r="F701" s="1"/>
      <c r="G701" s="1"/>
    </row>
    <row r="702" ht="12.75" customHeight="1">
      <c r="A702" s="1"/>
      <c r="B702" s="1"/>
      <c r="C702" s="1"/>
      <c r="D702" s="1"/>
      <c r="E702" s="1"/>
      <c r="F702" s="1"/>
      <c r="G702" s="1"/>
    </row>
    <row r="703" ht="12.75" customHeight="1">
      <c r="A703" s="1"/>
      <c r="B703" s="1"/>
      <c r="C703" s="1"/>
      <c r="D703" s="1"/>
      <c r="E703" s="1"/>
      <c r="F703" s="1"/>
      <c r="G703" s="1"/>
    </row>
    <row r="704" ht="12.75" customHeight="1">
      <c r="A704" s="1"/>
      <c r="B704" s="1"/>
      <c r="C704" s="1"/>
      <c r="D704" s="1"/>
      <c r="E704" s="1"/>
      <c r="F704" s="1"/>
      <c r="G704" s="1"/>
    </row>
    <row r="705" ht="12.75" customHeight="1">
      <c r="A705" s="1"/>
      <c r="B705" s="1"/>
      <c r="C705" s="1"/>
      <c r="D705" s="1"/>
      <c r="E705" s="1"/>
      <c r="F705" s="1"/>
      <c r="G705" s="1"/>
    </row>
    <row r="706" ht="12.75" customHeight="1">
      <c r="A706" s="1"/>
      <c r="B706" s="1"/>
      <c r="C706" s="1"/>
      <c r="D706" s="1"/>
      <c r="E706" s="1"/>
      <c r="F706" s="1"/>
      <c r="G706" s="1"/>
    </row>
    <row r="707" ht="12.75" customHeight="1">
      <c r="A707" s="1"/>
      <c r="B707" s="1"/>
      <c r="C707" s="1"/>
      <c r="D707" s="1"/>
      <c r="E707" s="1"/>
      <c r="F707" s="1"/>
      <c r="G707" s="1"/>
    </row>
    <row r="708" ht="12.75" customHeight="1">
      <c r="A708" s="1"/>
      <c r="B708" s="1"/>
      <c r="C708" s="1"/>
      <c r="D708" s="1"/>
      <c r="E708" s="1"/>
      <c r="F708" s="1"/>
      <c r="G708" s="1"/>
    </row>
    <row r="709" ht="12.75" customHeight="1">
      <c r="A709" s="1"/>
      <c r="B709" s="1"/>
      <c r="C709" s="1"/>
      <c r="D709" s="1"/>
      <c r="E709" s="1"/>
      <c r="F709" s="1"/>
      <c r="G709" s="1"/>
    </row>
    <row r="710" ht="12.75" customHeight="1">
      <c r="A710" s="1"/>
      <c r="B710" s="1"/>
      <c r="C710" s="1"/>
      <c r="D710" s="1"/>
      <c r="E710" s="1"/>
      <c r="F710" s="1"/>
      <c r="G710" s="1"/>
    </row>
    <row r="711" ht="12.75" customHeight="1">
      <c r="A711" s="1"/>
      <c r="B711" s="1"/>
      <c r="C711" s="1"/>
      <c r="D711" s="1"/>
      <c r="E711" s="1"/>
      <c r="F711" s="1"/>
      <c r="G711" s="1"/>
    </row>
    <row r="712" ht="12.75" customHeight="1">
      <c r="A712" s="1"/>
      <c r="B712" s="1"/>
      <c r="C712" s="1"/>
      <c r="D712" s="1"/>
      <c r="E712" s="1"/>
      <c r="F712" s="1"/>
      <c r="G712" s="1"/>
    </row>
    <row r="713" ht="12.75" customHeight="1">
      <c r="A713" s="1"/>
      <c r="B713" s="1"/>
      <c r="C713" s="1"/>
      <c r="D713" s="1"/>
      <c r="E713" s="1"/>
      <c r="F713" s="1"/>
      <c r="G713" s="1"/>
    </row>
    <row r="714" ht="12.75" customHeight="1">
      <c r="A714" s="1"/>
      <c r="B714" s="1"/>
      <c r="C714" s="1"/>
      <c r="D714" s="1"/>
      <c r="E714" s="1"/>
      <c r="F714" s="1"/>
      <c r="G714" s="1"/>
    </row>
    <row r="715" ht="12.75" customHeight="1">
      <c r="A715" s="1"/>
      <c r="B715" s="1"/>
      <c r="C715" s="1"/>
      <c r="D715" s="1"/>
      <c r="E715" s="1"/>
      <c r="F715" s="1"/>
      <c r="G715" s="1"/>
    </row>
    <row r="716" ht="12.75" customHeight="1">
      <c r="A716" s="1"/>
      <c r="B716" s="1"/>
      <c r="C716" s="1"/>
      <c r="D716" s="1"/>
      <c r="E716" s="1"/>
      <c r="F716" s="1"/>
      <c r="G716" s="1"/>
    </row>
    <row r="717" ht="12.75" customHeight="1">
      <c r="A717" s="1"/>
      <c r="B717" s="1"/>
      <c r="C717" s="1"/>
      <c r="D717" s="1"/>
      <c r="E717" s="1"/>
      <c r="F717" s="1"/>
      <c r="G717" s="1"/>
    </row>
    <row r="718" ht="12.75" customHeight="1">
      <c r="A718" s="1"/>
      <c r="B718" s="1"/>
      <c r="C718" s="1"/>
      <c r="D718" s="1"/>
      <c r="E718" s="1"/>
      <c r="F718" s="1"/>
      <c r="G718" s="1"/>
    </row>
    <row r="719" ht="12.75" customHeight="1">
      <c r="A719" s="1"/>
      <c r="B719" s="1"/>
      <c r="C719" s="1"/>
      <c r="D719" s="1"/>
      <c r="E719" s="1"/>
      <c r="F719" s="1"/>
      <c r="G719" s="1"/>
    </row>
    <row r="720" ht="12.75" customHeight="1">
      <c r="A720" s="1"/>
      <c r="B720" s="1"/>
      <c r="C720" s="1"/>
      <c r="D720" s="1"/>
      <c r="E720" s="1"/>
      <c r="F720" s="1"/>
      <c r="G720" s="1"/>
    </row>
    <row r="721" ht="12.75" customHeight="1">
      <c r="A721" s="1"/>
      <c r="B721" s="1"/>
      <c r="C721" s="1"/>
      <c r="D721" s="1"/>
      <c r="E721" s="1"/>
      <c r="F721" s="1"/>
      <c r="G721" s="1"/>
    </row>
    <row r="722" ht="12.75" customHeight="1">
      <c r="A722" s="1"/>
      <c r="B722" s="1"/>
      <c r="C722" s="1"/>
      <c r="D722" s="1"/>
      <c r="E722" s="1"/>
      <c r="F722" s="1"/>
      <c r="G722" s="1"/>
    </row>
    <row r="723" ht="12.75" customHeight="1">
      <c r="A723" s="1"/>
      <c r="B723" s="1"/>
      <c r="C723" s="1"/>
      <c r="D723" s="1"/>
      <c r="E723" s="1"/>
      <c r="F723" s="1"/>
      <c r="G723" s="1"/>
    </row>
    <row r="724" ht="12.75" customHeight="1">
      <c r="A724" s="1"/>
      <c r="B724" s="1"/>
      <c r="C724" s="1"/>
      <c r="D724" s="1"/>
      <c r="E724" s="1"/>
      <c r="F724" s="1"/>
      <c r="G724" s="1"/>
    </row>
    <row r="725" ht="12.75" customHeight="1">
      <c r="A725" s="1"/>
      <c r="B725" s="1"/>
      <c r="C725" s="1"/>
      <c r="D725" s="1"/>
      <c r="E725" s="1"/>
      <c r="F725" s="1"/>
      <c r="G725" s="1"/>
    </row>
    <row r="726" ht="12.75" customHeight="1">
      <c r="A726" s="1"/>
      <c r="B726" s="1"/>
      <c r="C726" s="1"/>
      <c r="D726" s="1"/>
      <c r="E726" s="1"/>
      <c r="F726" s="1"/>
      <c r="G726" s="1"/>
    </row>
    <row r="727" ht="12.75" customHeight="1">
      <c r="A727" s="1"/>
      <c r="B727" s="1"/>
      <c r="C727" s="1"/>
      <c r="D727" s="1"/>
      <c r="E727" s="1"/>
      <c r="F727" s="1"/>
      <c r="G727" s="1"/>
    </row>
    <row r="728" ht="12.75" customHeight="1">
      <c r="A728" s="1"/>
      <c r="B728" s="1"/>
      <c r="C728" s="1"/>
      <c r="D728" s="1"/>
      <c r="E728" s="1"/>
      <c r="F728" s="1"/>
      <c r="G728" s="1"/>
    </row>
    <row r="729" ht="12.75" customHeight="1">
      <c r="A729" s="1"/>
      <c r="B729" s="1"/>
      <c r="C729" s="1"/>
      <c r="D729" s="1"/>
      <c r="E729" s="1"/>
      <c r="F729" s="1"/>
      <c r="G729" s="1"/>
    </row>
    <row r="730" ht="12.75" customHeight="1">
      <c r="A730" s="1"/>
      <c r="B730" s="1"/>
      <c r="C730" s="1"/>
      <c r="D730" s="1"/>
      <c r="E730" s="1"/>
      <c r="F730" s="1"/>
      <c r="G730" s="1"/>
    </row>
    <row r="731" ht="12.75" customHeight="1">
      <c r="A731" s="1"/>
      <c r="B731" s="1"/>
      <c r="C731" s="1"/>
      <c r="D731" s="1"/>
      <c r="E731" s="1"/>
      <c r="F731" s="1"/>
      <c r="G731" s="1"/>
    </row>
    <row r="732" ht="12.75" customHeight="1">
      <c r="A732" s="1"/>
      <c r="B732" s="1"/>
      <c r="C732" s="1"/>
      <c r="D732" s="1"/>
      <c r="E732" s="1"/>
      <c r="F732" s="1"/>
      <c r="G732" s="1"/>
    </row>
    <row r="733" ht="12.75" customHeight="1">
      <c r="A733" s="1"/>
      <c r="B733" s="1"/>
      <c r="C733" s="1"/>
      <c r="D733" s="1"/>
      <c r="E733" s="1"/>
      <c r="F733" s="1"/>
      <c r="G733" s="1"/>
    </row>
    <row r="734" ht="12.75" customHeight="1">
      <c r="A734" s="1"/>
      <c r="B734" s="1"/>
      <c r="C734" s="1"/>
      <c r="D734" s="1"/>
      <c r="E734" s="1"/>
      <c r="F734" s="1"/>
      <c r="G734" s="1"/>
    </row>
    <row r="735" ht="12.75" customHeight="1">
      <c r="A735" s="1"/>
      <c r="B735" s="1"/>
      <c r="C735" s="1"/>
      <c r="D735" s="1"/>
      <c r="E735" s="1"/>
      <c r="F735" s="1"/>
      <c r="G735" s="1"/>
    </row>
    <row r="736" ht="12.75" customHeight="1">
      <c r="A736" s="1"/>
      <c r="B736" s="1"/>
      <c r="C736" s="1"/>
      <c r="D736" s="1"/>
      <c r="E736" s="1"/>
      <c r="F736" s="1"/>
      <c r="G736" s="1"/>
    </row>
    <row r="737" ht="12.75" customHeight="1">
      <c r="A737" s="1"/>
      <c r="B737" s="1"/>
      <c r="C737" s="1"/>
      <c r="D737" s="1"/>
      <c r="E737" s="1"/>
      <c r="F737" s="1"/>
      <c r="G737" s="1"/>
    </row>
    <row r="738" ht="12.75" customHeight="1">
      <c r="A738" s="1"/>
      <c r="B738" s="1"/>
      <c r="C738" s="1"/>
      <c r="D738" s="1"/>
      <c r="E738" s="1"/>
      <c r="F738" s="1"/>
      <c r="G738" s="1"/>
    </row>
    <row r="739" ht="12.75" customHeight="1">
      <c r="A739" s="1"/>
      <c r="B739" s="1"/>
      <c r="C739" s="1"/>
      <c r="D739" s="1"/>
      <c r="E739" s="1"/>
      <c r="F739" s="1"/>
      <c r="G739" s="1"/>
    </row>
    <row r="740" ht="12.75" customHeight="1">
      <c r="A740" s="1"/>
      <c r="B740" s="1"/>
      <c r="C740" s="1"/>
      <c r="D740" s="1"/>
      <c r="E740" s="1"/>
      <c r="F740" s="1"/>
      <c r="G740" s="1"/>
    </row>
    <row r="741" ht="12.75" customHeight="1">
      <c r="A741" s="1"/>
      <c r="B741" s="1"/>
      <c r="C741" s="1"/>
      <c r="D741" s="1"/>
      <c r="E741" s="1"/>
      <c r="F741" s="1"/>
      <c r="G741" s="1"/>
    </row>
    <row r="742" ht="12.75" customHeight="1">
      <c r="A742" s="1"/>
      <c r="B742" s="1"/>
      <c r="C742" s="1"/>
      <c r="D742" s="1"/>
      <c r="E742" s="1"/>
      <c r="F742" s="1"/>
      <c r="G742" s="1"/>
    </row>
    <row r="743" ht="12.75" customHeight="1">
      <c r="A743" s="1"/>
      <c r="B743" s="1"/>
      <c r="C743" s="1"/>
      <c r="D743" s="1"/>
      <c r="E743" s="1"/>
      <c r="F743" s="1"/>
      <c r="G743" s="1"/>
    </row>
    <row r="744" ht="12.75" customHeight="1">
      <c r="A744" s="1"/>
      <c r="B744" s="1"/>
      <c r="C744" s="1"/>
      <c r="D744" s="1"/>
      <c r="E744" s="1"/>
      <c r="F744" s="1"/>
      <c r="G744" s="1"/>
    </row>
    <row r="745" ht="12.75" customHeight="1">
      <c r="A745" s="1"/>
      <c r="B745" s="1"/>
      <c r="C745" s="1"/>
      <c r="D745" s="1"/>
      <c r="E745" s="1"/>
      <c r="F745" s="1"/>
      <c r="G745" s="1"/>
    </row>
    <row r="746" ht="12.75" customHeight="1">
      <c r="A746" s="1"/>
      <c r="B746" s="1"/>
      <c r="C746" s="1"/>
      <c r="D746" s="1"/>
      <c r="E746" s="1"/>
      <c r="F746" s="1"/>
      <c r="G746" s="1"/>
    </row>
    <row r="747" ht="12.75" customHeight="1">
      <c r="A747" s="1"/>
      <c r="B747" s="1"/>
      <c r="C747" s="1"/>
      <c r="D747" s="1"/>
      <c r="E747" s="1"/>
      <c r="F747" s="1"/>
      <c r="G747" s="1"/>
    </row>
    <row r="748" ht="12.75" customHeight="1">
      <c r="A748" s="1"/>
      <c r="B748" s="1"/>
      <c r="C748" s="1"/>
      <c r="D748" s="1"/>
      <c r="E748" s="1"/>
      <c r="F748" s="1"/>
      <c r="G748" s="1"/>
    </row>
    <row r="749" ht="12.75" customHeight="1">
      <c r="A749" s="1"/>
      <c r="B749" s="1"/>
      <c r="C749" s="1"/>
      <c r="D749" s="1"/>
      <c r="E749" s="1"/>
      <c r="F749" s="1"/>
      <c r="G749" s="1"/>
    </row>
    <row r="750" ht="12.75" customHeight="1">
      <c r="A750" s="1"/>
      <c r="B750" s="1"/>
      <c r="C750" s="1"/>
      <c r="D750" s="1"/>
      <c r="E750" s="1"/>
      <c r="F750" s="1"/>
      <c r="G750" s="1"/>
    </row>
    <row r="751" ht="12.75" customHeight="1">
      <c r="A751" s="1"/>
      <c r="B751" s="1"/>
      <c r="C751" s="1"/>
      <c r="D751" s="1"/>
      <c r="E751" s="1"/>
      <c r="F751" s="1"/>
      <c r="G751" s="1"/>
    </row>
    <row r="752" ht="12.75" customHeight="1">
      <c r="A752" s="1"/>
      <c r="B752" s="1"/>
      <c r="C752" s="1"/>
      <c r="D752" s="1"/>
      <c r="E752" s="1"/>
      <c r="F752" s="1"/>
      <c r="G752" s="1"/>
    </row>
    <row r="753" ht="12.75" customHeight="1">
      <c r="A753" s="1"/>
      <c r="B753" s="1"/>
      <c r="C753" s="1"/>
      <c r="D753" s="1"/>
      <c r="E753" s="1"/>
      <c r="F753" s="1"/>
      <c r="G753" s="1"/>
    </row>
    <row r="754" ht="12.75" customHeight="1">
      <c r="A754" s="1"/>
      <c r="B754" s="1"/>
      <c r="C754" s="1"/>
      <c r="D754" s="1"/>
      <c r="E754" s="1"/>
      <c r="F754" s="1"/>
      <c r="G754" s="1"/>
    </row>
    <row r="755" ht="12.75" customHeight="1">
      <c r="A755" s="1"/>
      <c r="B755" s="1"/>
      <c r="C755" s="1"/>
      <c r="D755" s="1"/>
      <c r="E755" s="1"/>
      <c r="F755" s="1"/>
      <c r="G755" s="1"/>
    </row>
    <row r="756" ht="12.75" customHeight="1">
      <c r="A756" s="1"/>
      <c r="B756" s="1"/>
      <c r="C756" s="1"/>
      <c r="D756" s="1"/>
      <c r="E756" s="1"/>
      <c r="F756" s="1"/>
      <c r="G756" s="1"/>
    </row>
    <row r="757" ht="12.75" customHeight="1">
      <c r="A757" s="1"/>
      <c r="B757" s="1"/>
      <c r="C757" s="1"/>
      <c r="D757" s="1"/>
      <c r="E757" s="1"/>
      <c r="F757" s="1"/>
      <c r="G757" s="1"/>
    </row>
    <row r="758" ht="12.75" customHeight="1">
      <c r="A758" s="1"/>
      <c r="B758" s="1"/>
      <c r="C758" s="1"/>
      <c r="D758" s="1"/>
      <c r="E758" s="1"/>
      <c r="F758" s="1"/>
      <c r="G758" s="1"/>
    </row>
    <row r="759" ht="12.75" customHeight="1">
      <c r="A759" s="1"/>
      <c r="B759" s="1"/>
      <c r="C759" s="1"/>
      <c r="D759" s="1"/>
      <c r="E759" s="1"/>
      <c r="F759" s="1"/>
      <c r="G759" s="1"/>
    </row>
    <row r="760" ht="12.75" customHeight="1">
      <c r="A760" s="1"/>
      <c r="B760" s="1"/>
      <c r="C760" s="1"/>
      <c r="D760" s="1"/>
      <c r="E760" s="1"/>
      <c r="F760" s="1"/>
      <c r="G760" s="1"/>
    </row>
    <row r="761" ht="12.75" customHeight="1">
      <c r="A761" s="1"/>
      <c r="B761" s="1"/>
      <c r="C761" s="1"/>
      <c r="D761" s="1"/>
      <c r="E761" s="1"/>
      <c r="F761" s="1"/>
      <c r="G761" s="1"/>
    </row>
    <row r="762" ht="12.75" customHeight="1">
      <c r="A762" s="1"/>
      <c r="B762" s="1"/>
      <c r="C762" s="1"/>
      <c r="D762" s="1"/>
      <c r="E762" s="1"/>
      <c r="F762" s="1"/>
      <c r="G762" s="1"/>
    </row>
    <row r="763" ht="12.75" customHeight="1">
      <c r="A763" s="1"/>
      <c r="B763" s="1"/>
      <c r="C763" s="1"/>
      <c r="D763" s="1"/>
      <c r="E763" s="1"/>
      <c r="F763" s="1"/>
      <c r="G763" s="1"/>
    </row>
    <row r="764" ht="12.75" customHeight="1">
      <c r="A764" s="1"/>
      <c r="B764" s="1"/>
      <c r="C764" s="1"/>
      <c r="D764" s="1"/>
      <c r="E764" s="1"/>
      <c r="F764" s="1"/>
      <c r="G764" s="1"/>
    </row>
    <row r="765" ht="12.75" customHeight="1">
      <c r="A765" s="1"/>
      <c r="B765" s="1"/>
      <c r="C765" s="1"/>
      <c r="D765" s="1"/>
      <c r="E765" s="1"/>
      <c r="F765" s="1"/>
      <c r="G765" s="1"/>
    </row>
    <row r="766" ht="12.75" customHeight="1">
      <c r="A766" s="1"/>
      <c r="B766" s="1"/>
      <c r="C766" s="1"/>
      <c r="D766" s="1"/>
      <c r="E766" s="1"/>
      <c r="F766" s="1"/>
      <c r="G766" s="1"/>
    </row>
    <row r="767" ht="12.75" customHeight="1">
      <c r="A767" s="1"/>
      <c r="B767" s="1"/>
      <c r="C767" s="1"/>
      <c r="D767" s="1"/>
      <c r="E767" s="1"/>
      <c r="F767" s="1"/>
      <c r="G767" s="1"/>
    </row>
    <row r="768" ht="12.75" customHeight="1">
      <c r="A768" s="1"/>
      <c r="B768" s="1"/>
      <c r="C768" s="1"/>
      <c r="D768" s="1"/>
      <c r="E768" s="1"/>
      <c r="F768" s="1"/>
      <c r="G768" s="1"/>
    </row>
    <row r="769" ht="12.75" customHeight="1">
      <c r="A769" s="1"/>
      <c r="B769" s="1"/>
      <c r="C769" s="1"/>
      <c r="D769" s="1"/>
      <c r="E769" s="1"/>
      <c r="F769" s="1"/>
      <c r="G769" s="1"/>
    </row>
    <row r="770" ht="12.75" customHeight="1">
      <c r="A770" s="1"/>
      <c r="B770" s="1"/>
      <c r="C770" s="1"/>
      <c r="D770" s="1"/>
      <c r="E770" s="1"/>
      <c r="F770" s="1"/>
      <c r="G770" s="1"/>
    </row>
    <row r="771" ht="12.75" customHeight="1">
      <c r="A771" s="1"/>
      <c r="B771" s="1"/>
      <c r="C771" s="1"/>
      <c r="D771" s="1"/>
      <c r="E771" s="1"/>
      <c r="F771" s="1"/>
      <c r="G771" s="1"/>
    </row>
    <row r="772" ht="12.75" customHeight="1">
      <c r="A772" s="1"/>
      <c r="B772" s="1"/>
      <c r="C772" s="1"/>
      <c r="D772" s="1"/>
      <c r="E772" s="1"/>
      <c r="F772" s="1"/>
      <c r="G772" s="1"/>
    </row>
    <row r="773" ht="12.75" customHeight="1">
      <c r="A773" s="1"/>
      <c r="B773" s="1"/>
      <c r="C773" s="1"/>
      <c r="D773" s="1"/>
      <c r="E773" s="1"/>
      <c r="F773" s="1"/>
      <c r="G773" s="1"/>
    </row>
    <row r="774" ht="12.75" customHeight="1">
      <c r="A774" s="1"/>
      <c r="B774" s="1"/>
      <c r="C774" s="1"/>
      <c r="D774" s="1"/>
      <c r="E774" s="1"/>
      <c r="F774" s="1"/>
      <c r="G774" s="1"/>
    </row>
    <row r="775" ht="12.75" customHeight="1">
      <c r="A775" s="1"/>
      <c r="B775" s="1"/>
      <c r="C775" s="1"/>
      <c r="D775" s="1"/>
      <c r="E775" s="1"/>
      <c r="F775" s="1"/>
      <c r="G775" s="1"/>
    </row>
    <row r="776" ht="12.75" customHeight="1">
      <c r="A776" s="1"/>
      <c r="B776" s="1"/>
      <c r="C776" s="1"/>
      <c r="D776" s="1"/>
      <c r="E776" s="1"/>
      <c r="F776" s="1"/>
      <c r="G776" s="1"/>
    </row>
    <row r="777" ht="12.75" customHeight="1">
      <c r="A777" s="1"/>
      <c r="B777" s="1"/>
      <c r="C777" s="1"/>
      <c r="D777" s="1"/>
      <c r="E777" s="1"/>
      <c r="F777" s="1"/>
      <c r="G777" s="1"/>
    </row>
    <row r="778" ht="12.75" customHeight="1">
      <c r="A778" s="1"/>
      <c r="B778" s="1"/>
      <c r="C778" s="1"/>
      <c r="D778" s="1"/>
      <c r="E778" s="1"/>
      <c r="F778" s="1"/>
      <c r="G778" s="1"/>
    </row>
    <row r="779" ht="12.75" customHeight="1">
      <c r="A779" s="1"/>
      <c r="B779" s="1"/>
      <c r="C779" s="1"/>
      <c r="D779" s="1"/>
      <c r="E779" s="1"/>
      <c r="F779" s="1"/>
      <c r="G779" s="1"/>
    </row>
    <row r="780" ht="12.75" customHeight="1">
      <c r="A780" s="1"/>
      <c r="B780" s="1"/>
      <c r="C780" s="1"/>
      <c r="D780" s="1"/>
      <c r="E780" s="1"/>
      <c r="F780" s="1"/>
      <c r="G780" s="1"/>
    </row>
    <row r="781" ht="12.75" customHeight="1">
      <c r="A781" s="1"/>
      <c r="B781" s="1"/>
      <c r="C781" s="1"/>
      <c r="D781" s="1"/>
      <c r="E781" s="1"/>
      <c r="F781" s="1"/>
      <c r="G781" s="1"/>
    </row>
    <row r="782" ht="12.75" customHeight="1">
      <c r="A782" s="1"/>
      <c r="B782" s="1"/>
      <c r="C782" s="1"/>
      <c r="D782" s="1"/>
      <c r="E782" s="1"/>
      <c r="F782" s="1"/>
      <c r="G782" s="1"/>
    </row>
    <row r="783" ht="12.75" customHeight="1">
      <c r="A783" s="1"/>
      <c r="B783" s="1"/>
      <c r="C783" s="1"/>
      <c r="D783" s="1"/>
      <c r="E783" s="1"/>
      <c r="F783" s="1"/>
      <c r="G783" s="1"/>
    </row>
    <row r="784" ht="12.75" customHeight="1">
      <c r="A784" s="1"/>
      <c r="B784" s="1"/>
      <c r="C784" s="1"/>
      <c r="D784" s="1"/>
      <c r="E784" s="1"/>
      <c r="F784" s="1"/>
      <c r="G784" s="1"/>
    </row>
    <row r="785" ht="12.75" customHeight="1">
      <c r="A785" s="1"/>
      <c r="B785" s="1"/>
      <c r="C785" s="1"/>
      <c r="D785" s="1"/>
      <c r="E785" s="1"/>
      <c r="F785" s="1"/>
      <c r="G785" s="1"/>
    </row>
    <row r="786" ht="12.75" customHeight="1">
      <c r="A786" s="1"/>
      <c r="B786" s="1"/>
      <c r="C786" s="1"/>
      <c r="D786" s="1"/>
      <c r="E786" s="1"/>
      <c r="F786" s="1"/>
      <c r="G786" s="1"/>
    </row>
    <row r="787" ht="12.75" customHeight="1">
      <c r="A787" s="1"/>
      <c r="B787" s="1"/>
      <c r="C787" s="1"/>
      <c r="D787" s="1"/>
      <c r="E787" s="1"/>
      <c r="F787" s="1"/>
      <c r="G787" s="1"/>
    </row>
    <row r="788" ht="12.75" customHeight="1">
      <c r="A788" s="1"/>
      <c r="B788" s="1"/>
      <c r="C788" s="1"/>
      <c r="D788" s="1"/>
      <c r="E788" s="1"/>
      <c r="F788" s="1"/>
      <c r="G788" s="1"/>
    </row>
    <row r="789" ht="12.75" customHeight="1">
      <c r="A789" s="1"/>
      <c r="B789" s="1"/>
      <c r="C789" s="1"/>
      <c r="D789" s="1"/>
      <c r="E789" s="1"/>
      <c r="F789" s="1"/>
      <c r="G789" s="1"/>
    </row>
    <row r="790" ht="12.75" customHeight="1">
      <c r="A790" s="1"/>
      <c r="B790" s="1"/>
      <c r="C790" s="1"/>
      <c r="D790" s="1"/>
      <c r="E790" s="1"/>
      <c r="F790" s="1"/>
      <c r="G790" s="1"/>
    </row>
    <row r="791" ht="12.75" customHeight="1">
      <c r="A791" s="1"/>
      <c r="B791" s="1"/>
      <c r="C791" s="1"/>
      <c r="D791" s="1"/>
      <c r="E791" s="1"/>
      <c r="F791" s="1"/>
      <c r="G791" s="1"/>
    </row>
    <row r="792" ht="12.75" customHeight="1">
      <c r="A792" s="1"/>
      <c r="B792" s="1"/>
      <c r="C792" s="1"/>
      <c r="D792" s="1"/>
      <c r="E792" s="1"/>
      <c r="F792" s="1"/>
      <c r="G792" s="1"/>
    </row>
    <row r="793" ht="12.75" customHeight="1">
      <c r="A793" s="1"/>
      <c r="B793" s="1"/>
      <c r="C793" s="1"/>
      <c r="D793" s="1"/>
      <c r="E793" s="1"/>
      <c r="F793" s="1"/>
      <c r="G793" s="1"/>
    </row>
    <row r="794" ht="12.75" customHeight="1">
      <c r="A794" s="1"/>
      <c r="B794" s="1"/>
      <c r="C794" s="1"/>
      <c r="D794" s="1"/>
      <c r="E794" s="1"/>
      <c r="F794" s="1"/>
      <c r="G794" s="1"/>
    </row>
    <row r="795" ht="12.75" customHeight="1">
      <c r="A795" s="1"/>
      <c r="B795" s="1"/>
      <c r="C795" s="1"/>
      <c r="D795" s="1"/>
      <c r="E795" s="1"/>
      <c r="F795" s="1"/>
      <c r="G795" s="1"/>
    </row>
    <row r="796" ht="12.75" customHeight="1">
      <c r="A796" s="1"/>
      <c r="B796" s="1"/>
      <c r="C796" s="1"/>
      <c r="D796" s="1"/>
      <c r="E796" s="1"/>
      <c r="F796" s="1"/>
      <c r="G796" s="1"/>
    </row>
    <row r="797" ht="12.75" customHeight="1">
      <c r="A797" s="1"/>
      <c r="B797" s="1"/>
      <c r="C797" s="1"/>
      <c r="D797" s="1"/>
      <c r="E797" s="1"/>
      <c r="F797" s="1"/>
      <c r="G797" s="1"/>
    </row>
    <row r="798" ht="12.75" customHeight="1">
      <c r="A798" s="1"/>
      <c r="B798" s="1"/>
      <c r="C798" s="1"/>
      <c r="D798" s="1"/>
      <c r="E798" s="1"/>
      <c r="F798" s="1"/>
      <c r="G798" s="1"/>
    </row>
    <row r="799" ht="12.75" customHeight="1">
      <c r="A799" s="1"/>
      <c r="B799" s="1"/>
      <c r="C799" s="1"/>
      <c r="D799" s="1"/>
      <c r="E799" s="1"/>
      <c r="F799" s="1"/>
      <c r="G799" s="1"/>
    </row>
    <row r="800" ht="12.75" customHeight="1">
      <c r="A800" s="1"/>
      <c r="B800" s="1"/>
      <c r="C800" s="1"/>
      <c r="D800" s="1"/>
      <c r="E800" s="1"/>
      <c r="F800" s="1"/>
      <c r="G800" s="1"/>
    </row>
    <row r="801" ht="12.75" customHeight="1">
      <c r="A801" s="1"/>
      <c r="B801" s="1"/>
      <c r="C801" s="1"/>
      <c r="D801" s="1"/>
      <c r="E801" s="1"/>
      <c r="F801" s="1"/>
      <c r="G801" s="1"/>
    </row>
    <row r="802" ht="12.75" customHeight="1">
      <c r="A802" s="1"/>
      <c r="B802" s="1"/>
      <c r="C802" s="1"/>
      <c r="D802" s="1"/>
      <c r="E802" s="1"/>
      <c r="F802" s="1"/>
      <c r="G802" s="1"/>
    </row>
    <row r="803" ht="12.75" customHeight="1">
      <c r="A803" s="1"/>
      <c r="B803" s="1"/>
      <c r="C803" s="1"/>
      <c r="D803" s="1"/>
      <c r="E803" s="1"/>
      <c r="F803" s="1"/>
      <c r="G803" s="1"/>
    </row>
    <row r="804" ht="12.75" customHeight="1">
      <c r="A804" s="1"/>
      <c r="B804" s="1"/>
      <c r="C804" s="1"/>
      <c r="D804" s="1"/>
      <c r="E804" s="1"/>
      <c r="F804" s="1"/>
      <c r="G804" s="1"/>
    </row>
    <row r="805" ht="12.75" customHeight="1">
      <c r="A805" s="1"/>
      <c r="B805" s="1"/>
      <c r="C805" s="1"/>
      <c r="D805" s="1"/>
      <c r="E805" s="1"/>
      <c r="F805" s="1"/>
      <c r="G805" s="1"/>
    </row>
    <row r="806" ht="12.75" customHeight="1">
      <c r="A806" s="1"/>
      <c r="B806" s="1"/>
      <c r="C806" s="1"/>
      <c r="D806" s="1"/>
      <c r="E806" s="1"/>
      <c r="F806" s="1"/>
      <c r="G806" s="1"/>
    </row>
    <row r="807" ht="12.75" customHeight="1">
      <c r="A807" s="1"/>
      <c r="B807" s="1"/>
      <c r="C807" s="1"/>
      <c r="D807" s="1"/>
      <c r="E807" s="1"/>
      <c r="F807" s="1"/>
      <c r="G807" s="1"/>
    </row>
    <row r="808" ht="12.75" customHeight="1">
      <c r="A808" s="1"/>
      <c r="B808" s="1"/>
      <c r="C808" s="1"/>
      <c r="D808" s="1"/>
      <c r="E808" s="1"/>
      <c r="F808" s="1"/>
      <c r="G808" s="1"/>
    </row>
    <row r="809" ht="12.75" customHeight="1">
      <c r="A809" s="1"/>
      <c r="B809" s="1"/>
      <c r="C809" s="1"/>
      <c r="D809" s="1"/>
      <c r="E809" s="1"/>
      <c r="F809" s="1"/>
      <c r="G809" s="1"/>
    </row>
    <row r="810" ht="12.75" customHeight="1">
      <c r="A810" s="1"/>
      <c r="B810" s="1"/>
      <c r="C810" s="1"/>
      <c r="D810" s="1"/>
      <c r="E810" s="1"/>
      <c r="F810" s="1"/>
      <c r="G810" s="1"/>
    </row>
    <row r="811" ht="12.75" customHeight="1">
      <c r="A811" s="1"/>
      <c r="B811" s="1"/>
      <c r="C811" s="1"/>
      <c r="D811" s="1"/>
      <c r="E811" s="1"/>
      <c r="F811" s="1"/>
      <c r="G811" s="1"/>
    </row>
    <row r="812" ht="12.75" customHeight="1">
      <c r="A812" s="1"/>
      <c r="B812" s="1"/>
      <c r="C812" s="1"/>
      <c r="D812" s="1"/>
      <c r="E812" s="1"/>
      <c r="F812" s="1"/>
      <c r="G812" s="1"/>
    </row>
    <row r="813" ht="12.75" customHeight="1">
      <c r="A813" s="1"/>
      <c r="B813" s="1"/>
      <c r="C813" s="1"/>
      <c r="D813" s="1"/>
      <c r="E813" s="1"/>
      <c r="F813" s="1"/>
      <c r="G813" s="1"/>
    </row>
    <row r="814" ht="12.75" customHeight="1">
      <c r="A814" s="1"/>
      <c r="B814" s="1"/>
      <c r="C814" s="1"/>
      <c r="D814" s="1"/>
      <c r="E814" s="1"/>
      <c r="F814" s="1"/>
      <c r="G814" s="1"/>
    </row>
    <row r="815" ht="12.75" customHeight="1">
      <c r="A815" s="1"/>
      <c r="B815" s="1"/>
      <c r="C815" s="1"/>
      <c r="D815" s="1"/>
      <c r="E815" s="1"/>
      <c r="F815" s="1"/>
      <c r="G815" s="1"/>
    </row>
    <row r="816" ht="12.75" customHeight="1">
      <c r="A816" s="1"/>
      <c r="B816" s="1"/>
      <c r="C816" s="1"/>
      <c r="D816" s="1"/>
      <c r="E816" s="1"/>
      <c r="F816" s="1"/>
      <c r="G816" s="1"/>
    </row>
    <row r="817" ht="12.75" customHeight="1">
      <c r="A817" s="1"/>
      <c r="B817" s="1"/>
      <c r="C817" s="1"/>
      <c r="D817" s="1"/>
      <c r="E817" s="1"/>
      <c r="F817" s="1"/>
      <c r="G817" s="1"/>
    </row>
    <row r="818" ht="12.75" customHeight="1">
      <c r="A818" s="1"/>
      <c r="B818" s="1"/>
      <c r="C818" s="1"/>
      <c r="D818" s="1"/>
      <c r="E818" s="1"/>
      <c r="F818" s="1"/>
      <c r="G818" s="1"/>
    </row>
    <row r="819" ht="12.75" customHeight="1">
      <c r="A819" s="1"/>
      <c r="B819" s="1"/>
      <c r="C819" s="1"/>
      <c r="D819" s="1"/>
      <c r="E819" s="1"/>
      <c r="F819" s="1"/>
      <c r="G819" s="1"/>
    </row>
    <row r="820" ht="12.75" customHeight="1">
      <c r="A820" s="1"/>
      <c r="B820" s="1"/>
      <c r="C820" s="1"/>
      <c r="D820" s="1"/>
      <c r="E820" s="1"/>
      <c r="F820" s="1"/>
      <c r="G820" s="1"/>
    </row>
    <row r="821" ht="12.75" customHeight="1">
      <c r="A821" s="1"/>
      <c r="B821" s="1"/>
      <c r="C821" s="1"/>
      <c r="D821" s="1"/>
      <c r="E821" s="1"/>
      <c r="F821" s="1"/>
      <c r="G821" s="1"/>
    </row>
    <row r="822" ht="12.75" customHeight="1">
      <c r="A822" s="1"/>
      <c r="B822" s="1"/>
      <c r="C822" s="1"/>
      <c r="D822" s="1"/>
      <c r="E822" s="1"/>
      <c r="F822" s="1"/>
      <c r="G822" s="1"/>
    </row>
    <row r="823" ht="12.75" customHeight="1">
      <c r="A823" s="1"/>
      <c r="B823" s="1"/>
      <c r="C823" s="1"/>
      <c r="D823" s="1"/>
      <c r="E823" s="1"/>
      <c r="F823" s="1"/>
      <c r="G823" s="1"/>
    </row>
    <row r="824" ht="12.75" customHeight="1">
      <c r="A824" s="1"/>
      <c r="B824" s="1"/>
      <c r="C824" s="1"/>
      <c r="D824" s="1"/>
      <c r="E824" s="1"/>
      <c r="F824" s="1"/>
      <c r="G824" s="1"/>
    </row>
    <row r="825" ht="12.75" customHeight="1">
      <c r="A825" s="1"/>
      <c r="B825" s="1"/>
      <c r="C825" s="1"/>
      <c r="D825" s="1"/>
      <c r="E825" s="1"/>
      <c r="F825" s="1"/>
      <c r="G825" s="1"/>
    </row>
    <row r="826" ht="12.75" customHeight="1">
      <c r="A826" s="1"/>
      <c r="B826" s="1"/>
      <c r="C826" s="1"/>
      <c r="D826" s="1"/>
      <c r="E826" s="1"/>
      <c r="F826" s="1"/>
      <c r="G826" s="1"/>
    </row>
    <row r="827" ht="12.75" customHeight="1">
      <c r="A827" s="1"/>
      <c r="B827" s="1"/>
      <c r="C827" s="1"/>
      <c r="D827" s="1"/>
      <c r="E827" s="1"/>
      <c r="F827" s="1"/>
      <c r="G827" s="1"/>
    </row>
    <row r="828" ht="12.75" customHeight="1">
      <c r="A828" s="1"/>
      <c r="B828" s="1"/>
      <c r="C828" s="1"/>
      <c r="D828" s="1"/>
      <c r="E828" s="1"/>
      <c r="F828" s="1"/>
      <c r="G828" s="1"/>
    </row>
    <row r="829" ht="12.75" customHeight="1">
      <c r="A829" s="1"/>
      <c r="B829" s="1"/>
      <c r="C829" s="1"/>
      <c r="D829" s="1"/>
      <c r="E829" s="1"/>
      <c r="F829" s="1"/>
      <c r="G829" s="1"/>
    </row>
    <row r="830" ht="12.75" customHeight="1">
      <c r="A830" s="1"/>
      <c r="B830" s="1"/>
      <c r="C830" s="1"/>
      <c r="D830" s="1"/>
      <c r="E830" s="1"/>
      <c r="F830" s="1"/>
      <c r="G830" s="1"/>
    </row>
    <row r="831" ht="12.75" customHeight="1">
      <c r="A831" s="1"/>
      <c r="B831" s="1"/>
      <c r="C831" s="1"/>
      <c r="D831" s="1"/>
      <c r="E831" s="1"/>
      <c r="F831" s="1"/>
      <c r="G831" s="1"/>
    </row>
    <row r="832" ht="12.75" customHeight="1">
      <c r="A832" s="1"/>
      <c r="B832" s="1"/>
      <c r="C832" s="1"/>
      <c r="D832" s="1"/>
      <c r="E832" s="1"/>
      <c r="F832" s="1"/>
      <c r="G832" s="1"/>
    </row>
    <row r="833" ht="12.75" customHeight="1">
      <c r="A833" s="1"/>
      <c r="B833" s="1"/>
      <c r="C833" s="1"/>
      <c r="D833" s="1"/>
      <c r="E833" s="1"/>
      <c r="F833" s="1"/>
      <c r="G833" s="1"/>
    </row>
    <row r="834" ht="12.75" customHeight="1">
      <c r="A834" s="1"/>
      <c r="B834" s="1"/>
      <c r="C834" s="1"/>
      <c r="D834" s="1"/>
      <c r="E834" s="1"/>
      <c r="F834" s="1"/>
      <c r="G834" s="1"/>
    </row>
    <row r="835" ht="12.75" customHeight="1">
      <c r="A835" s="1"/>
      <c r="B835" s="1"/>
      <c r="C835" s="1"/>
      <c r="D835" s="1"/>
      <c r="E835" s="1"/>
      <c r="F835" s="1"/>
      <c r="G835" s="1"/>
    </row>
    <row r="836" ht="12.75" customHeight="1">
      <c r="A836" s="1"/>
      <c r="B836" s="1"/>
      <c r="C836" s="1"/>
      <c r="D836" s="1"/>
      <c r="E836" s="1"/>
      <c r="F836" s="1"/>
      <c r="G836" s="1"/>
    </row>
    <row r="837" ht="12.75" customHeight="1">
      <c r="A837" s="1"/>
      <c r="B837" s="1"/>
      <c r="C837" s="1"/>
      <c r="D837" s="1"/>
      <c r="E837" s="1"/>
      <c r="F837" s="1"/>
      <c r="G837" s="1"/>
    </row>
    <row r="838" ht="12.75" customHeight="1">
      <c r="A838" s="1"/>
      <c r="B838" s="1"/>
      <c r="C838" s="1"/>
      <c r="D838" s="1"/>
      <c r="E838" s="1"/>
      <c r="F838" s="1"/>
      <c r="G838" s="1"/>
    </row>
    <row r="839" ht="12.75" customHeight="1">
      <c r="A839" s="1"/>
      <c r="B839" s="1"/>
      <c r="C839" s="1"/>
      <c r="D839" s="1"/>
      <c r="E839" s="1"/>
      <c r="F839" s="1"/>
      <c r="G839" s="1"/>
    </row>
    <row r="840" ht="12.75" customHeight="1">
      <c r="A840" s="1"/>
      <c r="B840" s="1"/>
      <c r="C840" s="1"/>
      <c r="D840" s="1"/>
      <c r="E840" s="1"/>
      <c r="F840" s="1"/>
      <c r="G840" s="1"/>
    </row>
    <row r="841" ht="12.75" customHeight="1">
      <c r="A841" s="1"/>
      <c r="B841" s="1"/>
      <c r="C841" s="1"/>
      <c r="D841" s="1"/>
      <c r="E841" s="1"/>
      <c r="F841" s="1"/>
      <c r="G841" s="1"/>
    </row>
    <row r="842" ht="12.75" customHeight="1">
      <c r="A842" s="1"/>
      <c r="B842" s="1"/>
      <c r="C842" s="1"/>
      <c r="D842" s="1"/>
      <c r="E842" s="1"/>
      <c r="F842" s="1"/>
      <c r="G842" s="1"/>
    </row>
    <row r="843" ht="12.75" customHeight="1">
      <c r="A843" s="1"/>
      <c r="B843" s="1"/>
      <c r="C843" s="1"/>
      <c r="D843" s="1"/>
      <c r="E843" s="1"/>
      <c r="F843" s="1"/>
      <c r="G843" s="1"/>
    </row>
    <row r="844" ht="12.75" customHeight="1">
      <c r="A844" s="1"/>
      <c r="B844" s="1"/>
      <c r="C844" s="1"/>
      <c r="D844" s="1"/>
      <c r="E844" s="1"/>
      <c r="F844" s="1"/>
      <c r="G844" s="1"/>
    </row>
    <row r="845" ht="12.75" customHeight="1">
      <c r="A845" s="1"/>
      <c r="B845" s="1"/>
      <c r="C845" s="1"/>
      <c r="D845" s="1"/>
      <c r="E845" s="1"/>
      <c r="F845" s="1"/>
      <c r="G845" s="1"/>
    </row>
    <row r="846" ht="12.75" customHeight="1">
      <c r="A846" s="1"/>
      <c r="B846" s="1"/>
      <c r="C846" s="1"/>
      <c r="D846" s="1"/>
      <c r="E846" s="1"/>
      <c r="F846" s="1"/>
      <c r="G846" s="1"/>
    </row>
    <row r="847" ht="12.75" customHeight="1">
      <c r="A847" s="1"/>
      <c r="B847" s="1"/>
      <c r="C847" s="1"/>
      <c r="D847" s="1"/>
      <c r="E847" s="1"/>
      <c r="F847" s="1"/>
      <c r="G847" s="1"/>
    </row>
    <row r="848" ht="12.75" customHeight="1">
      <c r="A848" s="1"/>
      <c r="B848" s="1"/>
      <c r="C848" s="1"/>
      <c r="D848" s="1"/>
      <c r="E848" s="1"/>
      <c r="F848" s="1"/>
      <c r="G848" s="1"/>
    </row>
    <row r="849" ht="12.75" customHeight="1">
      <c r="A849" s="1"/>
      <c r="B849" s="1"/>
      <c r="C849" s="1"/>
      <c r="D849" s="1"/>
      <c r="E849" s="1"/>
      <c r="F849" s="1"/>
      <c r="G849" s="1"/>
    </row>
    <row r="850" ht="12.75" customHeight="1">
      <c r="A850" s="1"/>
      <c r="B850" s="1"/>
      <c r="C850" s="1"/>
      <c r="D850" s="1"/>
      <c r="E850" s="1"/>
      <c r="F850" s="1"/>
      <c r="G850" s="1"/>
    </row>
    <row r="851" ht="12.75" customHeight="1">
      <c r="A851" s="1"/>
      <c r="B851" s="1"/>
      <c r="C851" s="1"/>
      <c r="D851" s="1"/>
      <c r="E851" s="1"/>
      <c r="F851" s="1"/>
      <c r="G851" s="1"/>
    </row>
    <row r="852" ht="12.75" customHeight="1">
      <c r="A852" s="1"/>
      <c r="B852" s="1"/>
      <c r="C852" s="1"/>
      <c r="D852" s="1"/>
      <c r="E852" s="1"/>
      <c r="F852" s="1"/>
      <c r="G852" s="1"/>
    </row>
    <row r="853" ht="12.75" customHeight="1">
      <c r="A853" s="1"/>
      <c r="B853" s="1"/>
      <c r="C853" s="1"/>
      <c r="D853" s="1"/>
      <c r="E853" s="1"/>
      <c r="F853" s="1"/>
      <c r="G853" s="1"/>
    </row>
    <row r="854" ht="12.75" customHeight="1">
      <c r="A854" s="1"/>
      <c r="B854" s="1"/>
      <c r="C854" s="1"/>
      <c r="D854" s="1"/>
      <c r="E854" s="1"/>
      <c r="F854" s="1"/>
      <c r="G854" s="1"/>
    </row>
    <row r="855" ht="12.75" customHeight="1">
      <c r="A855" s="1"/>
      <c r="B855" s="1"/>
      <c r="C855" s="1"/>
      <c r="D855" s="1"/>
      <c r="E855" s="1"/>
      <c r="F855" s="1"/>
      <c r="G855" s="1"/>
    </row>
    <row r="856" ht="12.75" customHeight="1">
      <c r="A856" s="1"/>
      <c r="B856" s="1"/>
      <c r="C856" s="1"/>
      <c r="D856" s="1"/>
      <c r="E856" s="1"/>
      <c r="F856" s="1"/>
      <c r="G856" s="1"/>
    </row>
    <row r="857" ht="12.75" customHeight="1">
      <c r="A857" s="1"/>
      <c r="B857" s="1"/>
      <c r="C857" s="1"/>
      <c r="D857" s="1"/>
      <c r="E857" s="1"/>
      <c r="F857" s="1"/>
      <c r="G857" s="1"/>
    </row>
    <row r="858" ht="12.75" customHeight="1">
      <c r="A858" s="1"/>
      <c r="B858" s="1"/>
      <c r="C858" s="1"/>
      <c r="D858" s="1"/>
      <c r="E858" s="1"/>
      <c r="F858" s="1"/>
      <c r="G858" s="1"/>
    </row>
    <row r="859" ht="12.75" customHeight="1">
      <c r="A859" s="1"/>
      <c r="B859" s="1"/>
      <c r="C859" s="1"/>
      <c r="D859" s="1"/>
      <c r="E859" s="1"/>
      <c r="F859" s="1"/>
      <c r="G859" s="1"/>
    </row>
    <row r="860" ht="12.75" customHeight="1">
      <c r="A860" s="1"/>
      <c r="B860" s="1"/>
      <c r="C860" s="1"/>
      <c r="D860" s="1"/>
      <c r="E860" s="1"/>
      <c r="F860" s="1"/>
      <c r="G860" s="1"/>
    </row>
    <row r="861" ht="12.75" customHeight="1">
      <c r="A861" s="1"/>
      <c r="B861" s="1"/>
      <c r="C861" s="1"/>
      <c r="D861" s="1"/>
      <c r="E861" s="1"/>
      <c r="F861" s="1"/>
      <c r="G861" s="1"/>
    </row>
    <row r="862" ht="12.75" customHeight="1">
      <c r="A862" s="1"/>
      <c r="B862" s="1"/>
      <c r="C862" s="1"/>
      <c r="D862" s="1"/>
      <c r="E862" s="1"/>
      <c r="F862" s="1"/>
      <c r="G862" s="1"/>
    </row>
    <row r="863" ht="12.75" customHeight="1">
      <c r="A863" s="1"/>
      <c r="B863" s="1"/>
      <c r="C863" s="1"/>
      <c r="D863" s="1"/>
      <c r="E863" s="1"/>
      <c r="F863" s="1"/>
      <c r="G863" s="1"/>
    </row>
    <row r="864" ht="12.75" customHeight="1">
      <c r="A864" s="1"/>
      <c r="B864" s="1"/>
      <c r="C864" s="1"/>
      <c r="D864" s="1"/>
      <c r="E864" s="1"/>
      <c r="F864" s="1"/>
      <c r="G864" s="1"/>
    </row>
    <row r="865" ht="12.75" customHeight="1">
      <c r="A865" s="1"/>
      <c r="B865" s="1"/>
      <c r="C865" s="1"/>
      <c r="D865" s="1"/>
      <c r="E865" s="1"/>
      <c r="F865" s="1"/>
      <c r="G865" s="1"/>
    </row>
    <row r="866" ht="12.75" customHeight="1">
      <c r="A866" s="1"/>
      <c r="B866" s="1"/>
      <c r="C866" s="1"/>
      <c r="D866" s="1"/>
      <c r="E866" s="1"/>
      <c r="F866" s="1"/>
      <c r="G866" s="1"/>
    </row>
    <row r="867" ht="12.75" customHeight="1">
      <c r="A867" s="1"/>
      <c r="B867" s="1"/>
      <c r="C867" s="1"/>
      <c r="D867" s="1"/>
      <c r="E867" s="1"/>
      <c r="F867" s="1"/>
      <c r="G867" s="1"/>
    </row>
    <row r="868" ht="12.75" customHeight="1">
      <c r="A868" s="1"/>
      <c r="B868" s="1"/>
      <c r="C868" s="1"/>
      <c r="D868" s="1"/>
      <c r="E868" s="1"/>
      <c r="F868" s="1"/>
      <c r="G868" s="1"/>
    </row>
    <row r="869" ht="12.75" customHeight="1">
      <c r="A869" s="1"/>
      <c r="B869" s="1"/>
      <c r="C869" s="1"/>
      <c r="D869" s="1"/>
      <c r="E869" s="1"/>
      <c r="F869" s="1"/>
      <c r="G869" s="1"/>
    </row>
    <row r="870" ht="12.75" customHeight="1">
      <c r="A870" s="1"/>
      <c r="B870" s="1"/>
      <c r="C870" s="1"/>
      <c r="D870" s="1"/>
      <c r="E870" s="1"/>
      <c r="F870" s="1"/>
      <c r="G870" s="1"/>
    </row>
    <row r="871" ht="12.75" customHeight="1">
      <c r="A871" s="1"/>
      <c r="B871" s="1"/>
      <c r="C871" s="1"/>
      <c r="D871" s="1"/>
      <c r="E871" s="1"/>
      <c r="F871" s="1"/>
      <c r="G871" s="1"/>
    </row>
    <row r="872" ht="12.75" customHeight="1">
      <c r="A872" s="1"/>
      <c r="B872" s="1"/>
      <c r="C872" s="1"/>
      <c r="D872" s="1"/>
      <c r="E872" s="1"/>
      <c r="F872" s="1"/>
      <c r="G872" s="1"/>
    </row>
    <row r="873" ht="12.75" customHeight="1">
      <c r="A873" s="1"/>
      <c r="B873" s="1"/>
      <c r="C873" s="1"/>
      <c r="D873" s="1"/>
      <c r="E873" s="1"/>
      <c r="F873" s="1"/>
      <c r="G873" s="1"/>
    </row>
    <row r="874" ht="12.75" customHeight="1">
      <c r="A874" s="1"/>
      <c r="B874" s="1"/>
      <c r="C874" s="1"/>
      <c r="D874" s="1"/>
      <c r="E874" s="1"/>
      <c r="F874" s="1"/>
      <c r="G874" s="1"/>
    </row>
    <row r="875" ht="12.75" customHeight="1">
      <c r="A875" s="1"/>
      <c r="B875" s="1"/>
      <c r="C875" s="1"/>
      <c r="D875" s="1"/>
      <c r="E875" s="1"/>
      <c r="F875" s="1"/>
      <c r="G875" s="1"/>
    </row>
    <row r="876" ht="12.75" customHeight="1">
      <c r="A876" s="1"/>
      <c r="B876" s="1"/>
      <c r="C876" s="1"/>
      <c r="D876" s="1"/>
      <c r="E876" s="1"/>
      <c r="F876" s="1"/>
      <c r="G876" s="1"/>
    </row>
    <row r="877" ht="12.75" customHeight="1">
      <c r="A877" s="1"/>
      <c r="B877" s="1"/>
      <c r="C877" s="1"/>
      <c r="D877" s="1"/>
      <c r="E877" s="1"/>
      <c r="F877" s="1"/>
      <c r="G877" s="1"/>
    </row>
    <row r="878" ht="12.75" customHeight="1">
      <c r="A878" s="1"/>
      <c r="B878" s="1"/>
      <c r="C878" s="1"/>
      <c r="D878" s="1"/>
      <c r="E878" s="1"/>
      <c r="F878" s="1"/>
      <c r="G878" s="1"/>
    </row>
    <row r="879" ht="12.75" customHeight="1">
      <c r="A879" s="1"/>
      <c r="B879" s="1"/>
      <c r="C879" s="1"/>
      <c r="D879" s="1"/>
      <c r="E879" s="1"/>
      <c r="F879" s="1"/>
      <c r="G879" s="1"/>
    </row>
    <row r="880" ht="12.75" customHeight="1">
      <c r="A880" s="1"/>
      <c r="B880" s="1"/>
      <c r="C880" s="1"/>
      <c r="D880" s="1"/>
      <c r="E880" s="1"/>
      <c r="F880" s="1"/>
      <c r="G880" s="1"/>
    </row>
    <row r="881" ht="12.75" customHeight="1">
      <c r="A881" s="1"/>
      <c r="B881" s="1"/>
      <c r="C881" s="1"/>
      <c r="D881" s="1"/>
      <c r="E881" s="1"/>
      <c r="F881" s="1"/>
      <c r="G881" s="1"/>
    </row>
    <row r="882" ht="12.75" customHeight="1">
      <c r="A882" s="1"/>
      <c r="B882" s="1"/>
      <c r="C882" s="1"/>
      <c r="D882" s="1"/>
      <c r="E882" s="1"/>
      <c r="F882" s="1"/>
      <c r="G882" s="1"/>
    </row>
    <row r="883" ht="12.75" customHeight="1">
      <c r="A883" s="1"/>
      <c r="B883" s="1"/>
      <c r="C883" s="1"/>
      <c r="D883" s="1"/>
      <c r="E883" s="1"/>
      <c r="F883" s="1"/>
      <c r="G883" s="1"/>
    </row>
    <row r="884" ht="12.75" customHeight="1">
      <c r="A884" s="1"/>
      <c r="B884" s="1"/>
      <c r="C884" s="1"/>
      <c r="D884" s="1"/>
      <c r="E884" s="1"/>
      <c r="F884" s="1"/>
      <c r="G884" s="1"/>
    </row>
    <row r="885" ht="12.75" customHeight="1">
      <c r="A885" s="1"/>
      <c r="B885" s="1"/>
      <c r="C885" s="1"/>
      <c r="D885" s="1"/>
      <c r="E885" s="1"/>
      <c r="F885" s="1"/>
      <c r="G885" s="1"/>
    </row>
    <row r="886" ht="12.75" customHeight="1">
      <c r="A886" s="1"/>
      <c r="B886" s="1"/>
      <c r="C886" s="1"/>
      <c r="D886" s="1"/>
      <c r="E886" s="1"/>
      <c r="F886" s="1"/>
      <c r="G886" s="1"/>
    </row>
    <row r="887" ht="12.75" customHeight="1">
      <c r="A887" s="1"/>
      <c r="B887" s="1"/>
      <c r="C887" s="1"/>
      <c r="D887" s="1"/>
      <c r="E887" s="1"/>
      <c r="F887" s="1"/>
      <c r="G887" s="1"/>
    </row>
    <row r="888" ht="12.75" customHeight="1">
      <c r="A888" s="1"/>
      <c r="B888" s="1"/>
      <c r="C888" s="1"/>
      <c r="D888" s="1"/>
      <c r="E888" s="1"/>
      <c r="F888" s="1"/>
      <c r="G888" s="1"/>
    </row>
    <row r="889" ht="12.75" customHeight="1">
      <c r="A889" s="1"/>
      <c r="B889" s="1"/>
      <c r="C889" s="1"/>
      <c r="D889" s="1"/>
      <c r="E889" s="1"/>
      <c r="F889" s="1"/>
      <c r="G889" s="1"/>
    </row>
    <row r="890" ht="12.75" customHeight="1">
      <c r="A890" s="1"/>
      <c r="B890" s="1"/>
      <c r="C890" s="1"/>
      <c r="D890" s="1"/>
      <c r="E890" s="1"/>
      <c r="F890" s="1"/>
      <c r="G890" s="1"/>
    </row>
    <row r="891" ht="12.75" customHeight="1">
      <c r="A891" s="1"/>
      <c r="B891" s="1"/>
      <c r="C891" s="1"/>
      <c r="D891" s="1"/>
      <c r="E891" s="1"/>
      <c r="F891" s="1"/>
      <c r="G891" s="1"/>
    </row>
    <row r="892" ht="12.75" customHeight="1">
      <c r="A892" s="1"/>
      <c r="B892" s="1"/>
      <c r="C892" s="1"/>
      <c r="D892" s="1"/>
      <c r="E892" s="1"/>
      <c r="F892" s="1"/>
      <c r="G892" s="1"/>
    </row>
    <row r="893" ht="12.75" customHeight="1">
      <c r="A893" s="1"/>
      <c r="B893" s="1"/>
      <c r="C893" s="1"/>
      <c r="D893" s="1"/>
      <c r="E893" s="1"/>
      <c r="F893" s="1"/>
      <c r="G893" s="1"/>
    </row>
    <row r="894" ht="12.75" customHeight="1">
      <c r="A894" s="1"/>
      <c r="B894" s="1"/>
      <c r="C894" s="1"/>
      <c r="D894" s="1"/>
      <c r="E894" s="1"/>
      <c r="F894" s="1"/>
      <c r="G894" s="1"/>
    </row>
    <row r="895" ht="12.75" customHeight="1">
      <c r="A895" s="1"/>
      <c r="B895" s="1"/>
      <c r="C895" s="1"/>
      <c r="D895" s="1"/>
      <c r="E895" s="1"/>
      <c r="F895" s="1"/>
      <c r="G895" s="1"/>
    </row>
    <row r="896" ht="12.75" customHeight="1">
      <c r="A896" s="1"/>
      <c r="B896" s="1"/>
      <c r="C896" s="1"/>
      <c r="D896" s="1"/>
      <c r="E896" s="1"/>
      <c r="F896" s="1"/>
      <c r="G896" s="1"/>
    </row>
    <row r="897" ht="12.75" customHeight="1">
      <c r="A897" s="1"/>
      <c r="B897" s="1"/>
      <c r="C897" s="1"/>
      <c r="D897" s="1"/>
      <c r="E897" s="1"/>
      <c r="F897" s="1"/>
      <c r="G897" s="1"/>
    </row>
    <row r="898" ht="12.75" customHeight="1">
      <c r="A898" s="1"/>
      <c r="B898" s="1"/>
      <c r="C898" s="1"/>
      <c r="D898" s="1"/>
      <c r="E898" s="1"/>
      <c r="F898" s="1"/>
      <c r="G898" s="1"/>
    </row>
    <row r="899" ht="12.75" customHeight="1">
      <c r="A899" s="1"/>
      <c r="B899" s="1"/>
      <c r="C899" s="1"/>
      <c r="D899" s="1"/>
      <c r="E899" s="1"/>
      <c r="F899" s="1"/>
      <c r="G899" s="1"/>
    </row>
    <row r="900" ht="12.75" customHeight="1">
      <c r="A900" s="1"/>
      <c r="B900" s="1"/>
      <c r="C900" s="1"/>
      <c r="D900" s="1"/>
      <c r="E900" s="1"/>
      <c r="F900" s="1"/>
      <c r="G900" s="1"/>
    </row>
    <row r="901" ht="12.75" customHeight="1">
      <c r="A901" s="1"/>
      <c r="B901" s="1"/>
      <c r="C901" s="1"/>
      <c r="D901" s="1"/>
      <c r="E901" s="1"/>
      <c r="F901" s="1"/>
      <c r="G901" s="1"/>
    </row>
    <row r="902" ht="12.75" customHeight="1">
      <c r="A902" s="1"/>
      <c r="B902" s="1"/>
      <c r="C902" s="1"/>
      <c r="D902" s="1"/>
      <c r="E902" s="1"/>
      <c r="F902" s="1"/>
      <c r="G902" s="1"/>
    </row>
    <row r="903" ht="12.75" customHeight="1">
      <c r="A903" s="1"/>
      <c r="B903" s="1"/>
      <c r="C903" s="1"/>
      <c r="D903" s="1"/>
      <c r="E903" s="1"/>
      <c r="F903" s="1"/>
      <c r="G903" s="1"/>
    </row>
    <row r="904" ht="12.75" customHeight="1">
      <c r="A904" s="1"/>
      <c r="B904" s="1"/>
      <c r="C904" s="1"/>
      <c r="D904" s="1"/>
      <c r="E904" s="1"/>
      <c r="F904" s="1"/>
      <c r="G904" s="1"/>
    </row>
    <row r="905" ht="12.75" customHeight="1">
      <c r="A905" s="1"/>
      <c r="B905" s="1"/>
      <c r="C905" s="1"/>
      <c r="D905" s="1"/>
      <c r="E905" s="1"/>
      <c r="F905" s="1"/>
      <c r="G905" s="1"/>
    </row>
    <row r="906" ht="12.75" customHeight="1">
      <c r="A906" s="1"/>
      <c r="B906" s="1"/>
      <c r="C906" s="1"/>
      <c r="D906" s="1"/>
      <c r="E906" s="1"/>
      <c r="F906" s="1"/>
      <c r="G906" s="1"/>
    </row>
    <row r="907" ht="12.75" customHeight="1">
      <c r="A907" s="1"/>
      <c r="B907" s="1"/>
      <c r="C907" s="1"/>
      <c r="D907" s="1"/>
      <c r="E907" s="1"/>
      <c r="F907" s="1"/>
      <c r="G907" s="1"/>
    </row>
    <row r="908" ht="12.75" customHeight="1">
      <c r="A908" s="1"/>
      <c r="B908" s="1"/>
      <c r="C908" s="1"/>
      <c r="D908" s="1"/>
      <c r="E908" s="1"/>
      <c r="F908" s="1"/>
      <c r="G908" s="1"/>
    </row>
    <row r="909" ht="12.75" customHeight="1">
      <c r="A909" s="1"/>
      <c r="B909" s="1"/>
      <c r="C909" s="1"/>
      <c r="D909" s="1"/>
      <c r="E909" s="1"/>
      <c r="F909" s="1"/>
      <c r="G909" s="1"/>
    </row>
    <row r="910" ht="12.75" customHeight="1">
      <c r="A910" s="1"/>
      <c r="B910" s="1"/>
      <c r="C910" s="1"/>
      <c r="D910" s="1"/>
      <c r="E910" s="1"/>
      <c r="F910" s="1"/>
      <c r="G910" s="1"/>
    </row>
    <row r="911" ht="12.75" customHeight="1">
      <c r="A911" s="1"/>
      <c r="B911" s="1"/>
      <c r="C911" s="1"/>
      <c r="D911" s="1"/>
      <c r="E911" s="1"/>
      <c r="F911" s="1"/>
      <c r="G911" s="1"/>
    </row>
    <row r="912" ht="12.75" customHeight="1">
      <c r="A912" s="1"/>
      <c r="B912" s="1"/>
      <c r="C912" s="1"/>
      <c r="D912" s="1"/>
      <c r="E912" s="1"/>
      <c r="F912" s="1"/>
      <c r="G912" s="1"/>
    </row>
    <row r="913" ht="12.75" customHeight="1">
      <c r="A913" s="1"/>
      <c r="B913" s="1"/>
      <c r="C913" s="1"/>
      <c r="D913" s="1"/>
      <c r="E913" s="1"/>
      <c r="F913" s="1"/>
      <c r="G913" s="1"/>
    </row>
    <row r="914" ht="12.75" customHeight="1">
      <c r="A914" s="1"/>
      <c r="B914" s="1"/>
      <c r="C914" s="1"/>
      <c r="D914" s="1"/>
      <c r="E914" s="1"/>
      <c r="F914" s="1"/>
      <c r="G914" s="1"/>
    </row>
    <row r="915" ht="12.75" customHeight="1">
      <c r="A915" s="1"/>
      <c r="B915" s="1"/>
      <c r="C915" s="1"/>
      <c r="D915" s="1"/>
      <c r="E915" s="1"/>
      <c r="F915" s="1"/>
      <c r="G915" s="1"/>
    </row>
    <row r="916" ht="12.75" customHeight="1">
      <c r="A916" s="1"/>
      <c r="B916" s="1"/>
      <c r="C916" s="1"/>
      <c r="D916" s="1"/>
      <c r="E916" s="1"/>
      <c r="F916" s="1"/>
      <c r="G916" s="1"/>
    </row>
    <row r="917" ht="12.75" customHeight="1">
      <c r="A917" s="1"/>
      <c r="B917" s="1"/>
      <c r="C917" s="1"/>
      <c r="D917" s="1"/>
      <c r="E917" s="1"/>
      <c r="F917" s="1"/>
      <c r="G917" s="1"/>
    </row>
    <row r="918" ht="12.75" customHeight="1">
      <c r="A918" s="1"/>
      <c r="B918" s="1"/>
      <c r="C918" s="1"/>
      <c r="D918" s="1"/>
      <c r="E918" s="1"/>
      <c r="F918" s="1"/>
      <c r="G918" s="1"/>
    </row>
    <row r="919" ht="12.75" customHeight="1">
      <c r="A919" s="1"/>
      <c r="B919" s="1"/>
      <c r="C919" s="1"/>
      <c r="D919" s="1"/>
      <c r="E919" s="1"/>
      <c r="F919" s="1"/>
      <c r="G919" s="1"/>
    </row>
    <row r="920" ht="12.75" customHeight="1">
      <c r="A920" s="1"/>
      <c r="B920" s="1"/>
      <c r="C920" s="1"/>
      <c r="D920" s="1"/>
      <c r="E920" s="1"/>
      <c r="F920" s="1"/>
      <c r="G920" s="1"/>
    </row>
    <row r="921" ht="12.75" customHeight="1">
      <c r="A921" s="1"/>
      <c r="B921" s="1"/>
      <c r="C921" s="1"/>
      <c r="D921" s="1"/>
      <c r="E921" s="1"/>
      <c r="F921" s="1"/>
      <c r="G921" s="1"/>
    </row>
    <row r="922" ht="12.75" customHeight="1">
      <c r="A922" s="1"/>
      <c r="B922" s="1"/>
      <c r="C922" s="1"/>
      <c r="D922" s="1"/>
      <c r="E922" s="1"/>
      <c r="F922" s="1"/>
      <c r="G922" s="1"/>
    </row>
    <row r="923" ht="12.75" customHeight="1">
      <c r="A923" s="1"/>
      <c r="B923" s="1"/>
      <c r="C923" s="1"/>
      <c r="D923" s="1"/>
      <c r="E923" s="1"/>
      <c r="F923" s="1"/>
      <c r="G923" s="1"/>
    </row>
    <row r="924" ht="12.75" customHeight="1">
      <c r="A924" s="1"/>
      <c r="B924" s="1"/>
      <c r="C924" s="1"/>
      <c r="D924" s="1"/>
      <c r="E924" s="1"/>
      <c r="F924" s="1"/>
      <c r="G924" s="1"/>
    </row>
    <row r="925" ht="12.75" customHeight="1">
      <c r="A925" s="1"/>
      <c r="B925" s="1"/>
      <c r="C925" s="1"/>
      <c r="D925" s="1"/>
      <c r="E925" s="1"/>
      <c r="F925" s="1"/>
      <c r="G925" s="1"/>
    </row>
    <row r="926" ht="12.75" customHeight="1">
      <c r="A926" s="1"/>
      <c r="B926" s="1"/>
      <c r="C926" s="1"/>
      <c r="D926" s="1"/>
      <c r="E926" s="1"/>
      <c r="F926" s="1"/>
      <c r="G926" s="1"/>
    </row>
    <row r="927" ht="12.75" customHeight="1">
      <c r="A927" s="1"/>
      <c r="B927" s="1"/>
      <c r="C927" s="1"/>
      <c r="D927" s="1"/>
      <c r="E927" s="1"/>
      <c r="F927" s="1"/>
      <c r="G927" s="1"/>
    </row>
    <row r="928" ht="12.75" customHeight="1">
      <c r="A928" s="1"/>
      <c r="B928" s="1"/>
      <c r="C928" s="1"/>
      <c r="D928" s="1"/>
      <c r="E928" s="1"/>
      <c r="F928" s="1"/>
      <c r="G928" s="1"/>
    </row>
    <row r="929" ht="12.75" customHeight="1">
      <c r="A929" s="1"/>
      <c r="B929" s="1"/>
      <c r="C929" s="1"/>
      <c r="D929" s="1"/>
      <c r="E929" s="1"/>
      <c r="F929" s="1"/>
      <c r="G929" s="1"/>
    </row>
    <row r="930" ht="12.75" customHeight="1">
      <c r="A930" s="1"/>
      <c r="B930" s="1"/>
      <c r="C930" s="1"/>
      <c r="D930" s="1"/>
      <c r="E930" s="1"/>
      <c r="F930" s="1"/>
      <c r="G930" s="1"/>
    </row>
    <row r="931" ht="12.75" customHeight="1">
      <c r="A931" s="1"/>
      <c r="B931" s="1"/>
      <c r="C931" s="1"/>
      <c r="D931" s="1"/>
      <c r="E931" s="1"/>
      <c r="F931" s="1"/>
      <c r="G931" s="1"/>
    </row>
    <row r="932" ht="12.75" customHeight="1">
      <c r="A932" s="1"/>
      <c r="B932" s="1"/>
      <c r="C932" s="1"/>
      <c r="D932" s="1"/>
      <c r="E932" s="1"/>
      <c r="F932" s="1"/>
      <c r="G932" s="1"/>
    </row>
    <row r="933" ht="12.75" customHeight="1">
      <c r="A933" s="1"/>
      <c r="B933" s="1"/>
      <c r="C933" s="1"/>
      <c r="D933" s="1"/>
      <c r="E933" s="1"/>
      <c r="F933" s="1"/>
      <c r="G933" s="1"/>
    </row>
    <row r="934" ht="12.75" customHeight="1">
      <c r="A934" s="1"/>
      <c r="B934" s="1"/>
      <c r="C934" s="1"/>
      <c r="D934" s="1"/>
      <c r="E934" s="1"/>
      <c r="F934" s="1"/>
      <c r="G934" s="1"/>
    </row>
    <row r="935" ht="12.75" customHeight="1">
      <c r="A935" s="1"/>
      <c r="B935" s="1"/>
      <c r="C935" s="1"/>
      <c r="D935" s="1"/>
      <c r="E935" s="1"/>
      <c r="F935" s="1"/>
      <c r="G935" s="1"/>
    </row>
    <row r="936" ht="12.75" customHeight="1">
      <c r="A936" s="1"/>
      <c r="B936" s="1"/>
      <c r="C936" s="1"/>
      <c r="D936" s="1"/>
      <c r="E936" s="1"/>
      <c r="F936" s="1"/>
      <c r="G936" s="1"/>
    </row>
    <row r="937" ht="12.75" customHeight="1">
      <c r="A937" s="1"/>
      <c r="B937" s="1"/>
      <c r="C937" s="1"/>
      <c r="D937" s="1"/>
      <c r="E937" s="1"/>
      <c r="F937" s="1"/>
      <c r="G937" s="1"/>
    </row>
    <row r="938" ht="12.75" customHeight="1">
      <c r="A938" s="1"/>
      <c r="B938" s="1"/>
      <c r="C938" s="1"/>
      <c r="D938" s="1"/>
      <c r="E938" s="1"/>
      <c r="F938" s="1"/>
      <c r="G938" s="1"/>
    </row>
    <row r="939" ht="12.75" customHeight="1">
      <c r="A939" s="1"/>
      <c r="B939" s="1"/>
      <c r="C939" s="1"/>
      <c r="D939" s="1"/>
      <c r="E939" s="1"/>
      <c r="F939" s="1"/>
      <c r="G939" s="1"/>
    </row>
    <row r="940" ht="12.75" customHeight="1">
      <c r="A940" s="1"/>
      <c r="B940" s="1"/>
      <c r="C940" s="1"/>
      <c r="D940" s="1"/>
      <c r="E940" s="1"/>
      <c r="F940" s="1"/>
      <c r="G940" s="1"/>
    </row>
    <row r="941" ht="12.75" customHeight="1">
      <c r="A941" s="1"/>
      <c r="B941" s="1"/>
      <c r="C941" s="1"/>
      <c r="D941" s="1"/>
      <c r="E941" s="1"/>
      <c r="F941" s="1"/>
      <c r="G941" s="1"/>
    </row>
    <row r="942" ht="12.75" customHeight="1">
      <c r="A942" s="1"/>
      <c r="B942" s="1"/>
      <c r="C942" s="1"/>
      <c r="D942" s="1"/>
      <c r="E942" s="1"/>
      <c r="F942" s="1"/>
      <c r="G942" s="1"/>
    </row>
    <row r="943" ht="12.75" customHeight="1">
      <c r="A943" s="1"/>
      <c r="B943" s="1"/>
      <c r="C943" s="1"/>
      <c r="D943" s="1"/>
      <c r="E943" s="1"/>
      <c r="F943" s="1"/>
      <c r="G943" s="1"/>
    </row>
    <row r="944" ht="12.75" customHeight="1">
      <c r="A944" s="1"/>
      <c r="B944" s="1"/>
      <c r="C944" s="1"/>
      <c r="D944" s="1"/>
      <c r="E944" s="1"/>
      <c r="F944" s="1"/>
      <c r="G944" s="1"/>
    </row>
    <row r="945" ht="12.75" customHeight="1">
      <c r="A945" s="1"/>
      <c r="B945" s="1"/>
      <c r="C945" s="1"/>
      <c r="D945" s="1"/>
      <c r="E945" s="1"/>
      <c r="F945" s="1"/>
      <c r="G945" s="1"/>
    </row>
    <row r="946" ht="12.75" customHeight="1">
      <c r="A946" s="1"/>
      <c r="B946" s="1"/>
      <c r="C946" s="1"/>
      <c r="D946" s="1"/>
      <c r="E946" s="1"/>
      <c r="F946" s="1"/>
      <c r="G946" s="1"/>
    </row>
    <row r="947" ht="12.75" customHeight="1">
      <c r="A947" s="1"/>
      <c r="B947" s="1"/>
      <c r="C947" s="1"/>
      <c r="D947" s="1"/>
      <c r="E947" s="1"/>
      <c r="F947" s="1"/>
      <c r="G947" s="1"/>
    </row>
    <row r="948" ht="12.75" customHeight="1">
      <c r="A948" s="1"/>
      <c r="B948" s="1"/>
      <c r="C948" s="1"/>
      <c r="D948" s="1"/>
      <c r="E948" s="1"/>
      <c r="F948" s="1"/>
      <c r="G948" s="1"/>
    </row>
    <row r="949" ht="12.75" customHeight="1">
      <c r="A949" s="1"/>
      <c r="B949" s="1"/>
      <c r="C949" s="1"/>
      <c r="D949" s="1"/>
      <c r="E949" s="1"/>
      <c r="F949" s="1"/>
      <c r="G949" s="1"/>
    </row>
    <row r="950" ht="12.75" customHeight="1">
      <c r="A950" s="1"/>
      <c r="B950" s="1"/>
      <c r="C950" s="1"/>
      <c r="D950" s="1"/>
      <c r="E950" s="1"/>
      <c r="F950" s="1"/>
      <c r="G950" s="1"/>
    </row>
    <row r="951" ht="12.75" customHeight="1">
      <c r="A951" s="1"/>
      <c r="B951" s="1"/>
      <c r="C951" s="1"/>
      <c r="D951" s="1"/>
      <c r="E951" s="1"/>
      <c r="F951" s="1"/>
      <c r="G951" s="1"/>
    </row>
    <row r="952" ht="12.75" customHeight="1">
      <c r="A952" s="1"/>
      <c r="B952" s="1"/>
      <c r="C952" s="1"/>
      <c r="D952" s="1"/>
      <c r="E952" s="1"/>
      <c r="F952" s="1"/>
      <c r="G952" s="1"/>
    </row>
    <row r="953" ht="12.75" customHeight="1">
      <c r="A953" s="1"/>
      <c r="B953" s="1"/>
      <c r="C953" s="1"/>
      <c r="D953" s="1"/>
      <c r="E953" s="1"/>
      <c r="F953" s="1"/>
      <c r="G953" s="1"/>
    </row>
    <row r="954" ht="12.75" customHeight="1">
      <c r="A954" s="1"/>
      <c r="B954" s="1"/>
      <c r="C954" s="1"/>
      <c r="D954" s="1"/>
      <c r="E954" s="1"/>
      <c r="F954" s="1"/>
      <c r="G954" s="1"/>
    </row>
    <row r="955" ht="12.75" customHeight="1">
      <c r="A955" s="1"/>
      <c r="B955" s="1"/>
      <c r="C955" s="1"/>
      <c r="D955" s="1"/>
      <c r="E955" s="1"/>
      <c r="F955" s="1"/>
      <c r="G955" s="1"/>
    </row>
    <row r="956" ht="12.75" customHeight="1">
      <c r="A956" s="1"/>
      <c r="B956" s="1"/>
      <c r="C956" s="1"/>
      <c r="D956" s="1"/>
      <c r="E956" s="1"/>
      <c r="F956" s="1"/>
      <c r="G956" s="1"/>
    </row>
    <row r="957" ht="12.75" customHeight="1">
      <c r="A957" s="1"/>
      <c r="B957" s="1"/>
      <c r="C957" s="1"/>
      <c r="D957" s="1"/>
      <c r="E957" s="1"/>
      <c r="F957" s="1"/>
      <c r="G957" s="1"/>
    </row>
    <row r="958" ht="12.75" customHeight="1">
      <c r="A958" s="1"/>
      <c r="B958" s="1"/>
      <c r="C958" s="1"/>
      <c r="D958" s="1"/>
      <c r="E958" s="1"/>
      <c r="F958" s="1"/>
      <c r="G958" s="1"/>
    </row>
    <row r="959" ht="12.75" customHeight="1">
      <c r="A959" s="1"/>
      <c r="B959" s="1"/>
      <c r="C959" s="1"/>
      <c r="D959" s="1"/>
      <c r="E959" s="1"/>
      <c r="F959" s="1"/>
      <c r="G959" s="1"/>
    </row>
    <row r="960" ht="12.75" customHeight="1">
      <c r="A960" s="1"/>
      <c r="B960" s="1"/>
      <c r="C960" s="1"/>
      <c r="D960" s="1"/>
      <c r="E960" s="1"/>
      <c r="F960" s="1"/>
      <c r="G960" s="1"/>
    </row>
    <row r="961" ht="12.75" customHeight="1">
      <c r="A961" s="1"/>
      <c r="B961" s="1"/>
      <c r="C961" s="1"/>
      <c r="D961" s="1"/>
      <c r="E961" s="1"/>
      <c r="F961" s="1"/>
      <c r="G961" s="1"/>
    </row>
    <row r="962" ht="12.75" customHeight="1">
      <c r="A962" s="1"/>
      <c r="B962" s="1"/>
      <c r="C962" s="1"/>
      <c r="D962" s="1"/>
      <c r="E962" s="1"/>
      <c r="F962" s="1"/>
      <c r="G962" s="1"/>
    </row>
    <row r="963" ht="12.75" customHeight="1">
      <c r="A963" s="1"/>
      <c r="B963" s="1"/>
      <c r="C963" s="1"/>
      <c r="D963" s="1"/>
      <c r="E963" s="1"/>
      <c r="F963" s="1"/>
      <c r="G963" s="1"/>
    </row>
    <row r="964" ht="12.75" customHeight="1">
      <c r="A964" s="1"/>
      <c r="B964" s="1"/>
      <c r="C964" s="1"/>
      <c r="D964" s="1"/>
      <c r="E964" s="1"/>
      <c r="F964" s="1"/>
      <c r="G964" s="1"/>
    </row>
    <row r="965" ht="12.75" customHeight="1">
      <c r="A965" s="1"/>
      <c r="B965" s="1"/>
      <c r="C965" s="1"/>
      <c r="D965" s="1"/>
      <c r="E965" s="1"/>
      <c r="F965" s="1"/>
      <c r="G965" s="1"/>
    </row>
    <row r="966" ht="12.75" customHeight="1">
      <c r="A966" s="1"/>
      <c r="B966" s="1"/>
      <c r="C966" s="1"/>
      <c r="D966" s="1"/>
      <c r="E966" s="1"/>
      <c r="F966" s="1"/>
      <c r="G966" s="1"/>
    </row>
    <row r="967" ht="12.75" customHeight="1">
      <c r="A967" s="1"/>
      <c r="B967" s="1"/>
      <c r="C967" s="1"/>
      <c r="D967" s="1"/>
      <c r="E967" s="1"/>
      <c r="F967" s="1"/>
      <c r="G967" s="1"/>
    </row>
    <row r="968" ht="12.75" customHeight="1">
      <c r="A968" s="1"/>
      <c r="B968" s="1"/>
      <c r="C968" s="1"/>
      <c r="D968" s="1"/>
      <c r="E968" s="1"/>
      <c r="F968" s="1"/>
      <c r="G968" s="1"/>
    </row>
    <row r="969" ht="12.75" customHeight="1">
      <c r="A969" s="1"/>
      <c r="B969" s="1"/>
      <c r="C969" s="1"/>
      <c r="D969" s="1"/>
      <c r="E969" s="1"/>
      <c r="F969" s="1"/>
      <c r="G969" s="1"/>
    </row>
    <row r="970" ht="12.75" customHeight="1">
      <c r="A970" s="1"/>
      <c r="B970" s="1"/>
      <c r="C970" s="1"/>
      <c r="D970" s="1"/>
      <c r="E970" s="1"/>
      <c r="F970" s="1"/>
      <c r="G970" s="1"/>
    </row>
    <row r="971" ht="12.75" customHeight="1">
      <c r="A971" s="1"/>
      <c r="B971" s="1"/>
      <c r="C971" s="1"/>
      <c r="D971" s="1"/>
      <c r="E971" s="1"/>
      <c r="F971" s="1"/>
      <c r="G971" s="1"/>
    </row>
    <row r="972" ht="12.75" customHeight="1">
      <c r="A972" s="1"/>
      <c r="B972" s="1"/>
      <c r="C972" s="1"/>
      <c r="D972" s="1"/>
      <c r="E972" s="1"/>
      <c r="F972" s="1"/>
      <c r="G972" s="1"/>
    </row>
    <row r="973" ht="12.75" customHeight="1">
      <c r="A973" s="1"/>
      <c r="B973" s="1"/>
      <c r="C973" s="1"/>
      <c r="D973" s="1"/>
      <c r="E973" s="1"/>
      <c r="F973" s="1"/>
      <c r="G973" s="1"/>
    </row>
    <row r="974" ht="12.75" customHeight="1">
      <c r="A974" s="1"/>
      <c r="B974" s="1"/>
      <c r="C974" s="1"/>
      <c r="D974" s="1"/>
      <c r="E974" s="1"/>
      <c r="F974" s="1"/>
      <c r="G974" s="1"/>
    </row>
    <row r="975" ht="12.75" customHeight="1">
      <c r="A975" s="1"/>
      <c r="B975" s="1"/>
      <c r="C975" s="1"/>
      <c r="D975" s="1"/>
      <c r="E975" s="1"/>
      <c r="F975" s="1"/>
      <c r="G975" s="1"/>
    </row>
    <row r="976" ht="12.75" customHeight="1">
      <c r="A976" s="1"/>
      <c r="B976" s="1"/>
      <c r="C976" s="1"/>
      <c r="D976" s="1"/>
      <c r="E976" s="1"/>
      <c r="F976" s="1"/>
      <c r="G976" s="1"/>
    </row>
    <row r="977" ht="12.75" customHeight="1">
      <c r="A977" s="1"/>
      <c r="B977" s="1"/>
      <c r="C977" s="1"/>
      <c r="D977" s="1"/>
      <c r="E977" s="1"/>
      <c r="F977" s="1"/>
      <c r="G977" s="1"/>
    </row>
    <row r="978" ht="12.75" customHeight="1">
      <c r="A978" s="1"/>
      <c r="B978" s="1"/>
      <c r="C978" s="1"/>
      <c r="D978" s="1"/>
      <c r="E978" s="1"/>
      <c r="F978" s="1"/>
      <c r="G978" s="1"/>
    </row>
    <row r="979" ht="12.75" customHeight="1">
      <c r="A979" s="1"/>
      <c r="B979" s="1"/>
      <c r="C979" s="1"/>
      <c r="D979" s="1"/>
      <c r="E979" s="1"/>
      <c r="F979" s="1"/>
      <c r="G979" s="1"/>
    </row>
    <row r="980" ht="12.75" customHeight="1">
      <c r="A980" s="1"/>
      <c r="B980" s="1"/>
      <c r="C980" s="1"/>
      <c r="D980" s="1"/>
      <c r="E980" s="1"/>
      <c r="F980" s="1"/>
      <c r="G980" s="1"/>
    </row>
    <row r="981" ht="12.75" customHeight="1">
      <c r="A981" s="1"/>
      <c r="B981" s="1"/>
      <c r="C981" s="1"/>
      <c r="D981" s="1"/>
      <c r="E981" s="1"/>
      <c r="F981" s="1"/>
      <c r="G981" s="1"/>
    </row>
    <row r="982" ht="12.75" customHeight="1">
      <c r="A982" s="1"/>
      <c r="B982" s="1"/>
      <c r="C982" s="1"/>
      <c r="D982" s="1"/>
      <c r="E982" s="1"/>
      <c r="F982" s="1"/>
      <c r="G982" s="1"/>
    </row>
    <row r="983" ht="12.75" customHeight="1">
      <c r="A983" s="1"/>
      <c r="B983" s="1"/>
      <c r="C983" s="1"/>
      <c r="D983" s="1"/>
      <c r="E983" s="1"/>
      <c r="F983" s="1"/>
      <c r="G983" s="1"/>
    </row>
    <row r="984" ht="12.75" customHeight="1">
      <c r="A984" s="1"/>
      <c r="B984" s="1"/>
      <c r="C984" s="1"/>
      <c r="D984" s="1"/>
      <c r="E984" s="1"/>
      <c r="F984" s="1"/>
      <c r="G984" s="1"/>
    </row>
    <row r="985" ht="12.75" customHeight="1">
      <c r="A985" s="1"/>
      <c r="B985" s="1"/>
      <c r="C985" s="1"/>
      <c r="D985" s="1"/>
      <c r="E985" s="1"/>
      <c r="F985" s="1"/>
      <c r="G985" s="1"/>
    </row>
    <row r="986" ht="12.75" customHeight="1">
      <c r="A986" s="1"/>
      <c r="B986" s="1"/>
      <c r="C986" s="1"/>
      <c r="D986" s="1"/>
      <c r="E986" s="1"/>
      <c r="F986" s="1"/>
      <c r="G986" s="1"/>
    </row>
    <row r="987" ht="12.75" customHeight="1">
      <c r="A987" s="1"/>
      <c r="B987" s="1"/>
      <c r="C987" s="1"/>
      <c r="D987" s="1"/>
      <c r="E987" s="1"/>
      <c r="F987" s="1"/>
      <c r="G987" s="1"/>
    </row>
    <row r="988" ht="12.75" customHeight="1">
      <c r="A988" s="1"/>
      <c r="B988" s="1"/>
      <c r="C988" s="1"/>
      <c r="D988" s="1"/>
      <c r="E988" s="1"/>
      <c r="F988" s="1"/>
      <c r="G988" s="1"/>
    </row>
    <row r="989" ht="12.75" customHeight="1">
      <c r="A989" s="1"/>
      <c r="B989" s="1"/>
      <c r="C989" s="1"/>
      <c r="D989" s="1"/>
      <c r="E989" s="1"/>
      <c r="F989" s="1"/>
      <c r="G989" s="1"/>
    </row>
    <row r="990" ht="12.75" customHeight="1">
      <c r="A990" s="1"/>
      <c r="B990" s="1"/>
      <c r="C990" s="1"/>
      <c r="D990" s="1"/>
      <c r="E990" s="1"/>
      <c r="F990" s="1"/>
      <c r="G990" s="1"/>
    </row>
    <row r="991" ht="12.75" customHeight="1">
      <c r="A991" s="1"/>
      <c r="B991" s="1"/>
      <c r="C991" s="1"/>
      <c r="D991" s="1"/>
      <c r="E991" s="1"/>
      <c r="F991" s="1"/>
      <c r="G991" s="1"/>
    </row>
    <row r="992" ht="12.75" customHeight="1">
      <c r="A992" s="1"/>
      <c r="B992" s="1"/>
      <c r="C992" s="1"/>
      <c r="D992" s="1"/>
      <c r="E992" s="1"/>
      <c r="F992" s="1"/>
      <c r="G992" s="1"/>
    </row>
    <row r="993" ht="12.75" customHeight="1">
      <c r="A993" s="1"/>
      <c r="B993" s="1"/>
      <c r="C993" s="1"/>
      <c r="D993" s="1"/>
      <c r="E993" s="1"/>
      <c r="F993" s="1"/>
      <c r="G993" s="1"/>
    </row>
    <row r="994" ht="12.75" customHeight="1">
      <c r="A994" s="1"/>
      <c r="B994" s="1"/>
      <c r="C994" s="1"/>
      <c r="D994" s="1"/>
      <c r="E994" s="1"/>
      <c r="F994" s="1"/>
      <c r="G994" s="1"/>
    </row>
    <row r="995" ht="12.75" customHeight="1">
      <c r="A995" s="1"/>
      <c r="B995" s="1"/>
      <c r="C995" s="1"/>
      <c r="D995" s="1"/>
      <c r="E995" s="1"/>
      <c r="F995" s="1"/>
      <c r="G995" s="1"/>
    </row>
    <row r="996" ht="12.75" customHeight="1">
      <c r="A996" s="1"/>
      <c r="B996" s="1"/>
      <c r="C996" s="1"/>
      <c r="D996" s="1"/>
      <c r="E996" s="1"/>
      <c r="F996" s="1"/>
      <c r="G996" s="1"/>
    </row>
    <row r="997" ht="12.75" customHeight="1">
      <c r="A997" s="1"/>
      <c r="B997" s="1"/>
      <c r="C997" s="1"/>
      <c r="D997" s="1"/>
      <c r="E997" s="1"/>
      <c r="F997" s="1"/>
      <c r="G997" s="1"/>
    </row>
    <row r="998" ht="12.75" customHeight="1">
      <c r="A998" s="1"/>
      <c r="B998" s="1"/>
      <c r="C998" s="1"/>
      <c r="D998" s="1"/>
      <c r="E998" s="1"/>
      <c r="F998" s="1"/>
      <c r="G998" s="1"/>
    </row>
    <row r="999" ht="12.75" customHeight="1">
      <c r="A999" s="1"/>
      <c r="B999" s="1"/>
      <c r="C999" s="1"/>
      <c r="D999" s="1"/>
      <c r="E999" s="1"/>
      <c r="F999" s="1"/>
      <c r="G999" s="1"/>
    </row>
    <row r="1000" ht="12.75" customHeight="1">
      <c r="A1000" s="1"/>
      <c r="B1000" s="1"/>
      <c r="C1000" s="1"/>
      <c r="D1000" s="1"/>
      <c r="E1000" s="1"/>
      <c r="F1000" s="1"/>
      <c r="G1000" s="1"/>
    </row>
  </sheetData>
  <printOptions/>
  <pageMargins bottom="1.05277777777778" footer="0.0" header="0.0" left="0.7875" right="0.7875" top="1.05277777777778"/>
  <pageSetup paperSize="9" orientation="portrait"/>
  <headerFooter>
    <oddHeader>&amp;C&amp;A</oddHeader>
    <oddFooter>&amp;CPágina &amp;P</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18.25"/>
    <col customWidth="1" min="3" max="3" width="15.13"/>
    <col customWidth="1" min="4" max="4" width="22.5"/>
    <col customWidth="1" min="5" max="5" width="19.38"/>
    <col customWidth="1" min="6" max="26" width="12.25"/>
  </cols>
  <sheetData>
    <row r="1" ht="12.75" customHeight="1">
      <c r="A1" s="1"/>
      <c r="B1" s="2"/>
    </row>
    <row r="2" ht="12.75" customHeight="1">
      <c r="A2" s="1"/>
      <c r="B2" s="1"/>
    </row>
    <row r="3" ht="12.75" customHeight="1">
      <c r="A3" s="1"/>
      <c r="B3" s="1"/>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c r="B215" s="1"/>
      <c r="C215" s="1"/>
      <c r="D215" s="1"/>
      <c r="E215" s="1"/>
    </row>
    <row r="216" ht="12.75" customHeight="1">
      <c r="B216" s="1"/>
      <c r="C216" s="1"/>
      <c r="D216" s="1"/>
      <c r="E216" s="1"/>
    </row>
    <row r="217" ht="12.75" customHeight="1">
      <c r="B217" s="1"/>
      <c r="C217" s="1"/>
      <c r="D217" s="1"/>
      <c r="E217" s="1"/>
    </row>
    <row r="218" ht="12.75" customHeight="1">
      <c r="B218" s="1"/>
      <c r="C218" s="1"/>
      <c r="D218" s="1"/>
      <c r="E218" s="1"/>
    </row>
    <row r="219" ht="12.75" customHeight="1">
      <c r="B219" s="1"/>
      <c r="C219" s="1"/>
      <c r="D219" s="1"/>
      <c r="E219" s="1"/>
    </row>
    <row r="220" ht="12.75" customHeight="1">
      <c r="B220" s="1"/>
      <c r="C220" s="1"/>
      <c r="D220" s="1"/>
      <c r="E220" s="1"/>
    </row>
    <row r="221" ht="12.75" customHeight="1">
      <c r="B221" s="1"/>
      <c r="C221" s="1"/>
      <c r="D221" s="1"/>
      <c r="E221" s="1"/>
    </row>
    <row r="222" ht="12.75" customHeight="1">
      <c r="B222" s="1"/>
      <c r="C222" s="1"/>
      <c r="D222" s="1"/>
      <c r="E222" s="1"/>
    </row>
    <row r="223" ht="12.75" customHeight="1">
      <c r="B223" s="1"/>
      <c r="C223" s="1"/>
      <c r="D223" s="1"/>
      <c r="E223" s="1"/>
    </row>
    <row r="224" ht="12.75" customHeight="1">
      <c r="B224" s="1"/>
      <c r="C224" s="1"/>
      <c r="D224" s="1"/>
      <c r="E224" s="1"/>
    </row>
    <row r="225" ht="12.75" customHeight="1">
      <c r="B225" s="1"/>
      <c r="C225" s="1"/>
      <c r="D225" s="1"/>
      <c r="E225" s="1"/>
    </row>
    <row r="226" ht="12.75" customHeight="1">
      <c r="B226" s="1"/>
      <c r="C226" s="1"/>
      <c r="D226" s="1"/>
      <c r="E226" s="1"/>
    </row>
    <row r="227" ht="12.75" customHeight="1">
      <c r="B227" s="1"/>
      <c r="C227" s="1"/>
      <c r="D227" s="1"/>
      <c r="E227" s="1"/>
    </row>
    <row r="228" ht="12.75" customHeight="1">
      <c r="B228" s="1"/>
      <c r="C228" s="1"/>
      <c r="D228" s="1"/>
      <c r="E228" s="1"/>
    </row>
    <row r="229" ht="12.75" customHeight="1">
      <c r="B229" s="1"/>
      <c r="C229" s="1"/>
      <c r="D229" s="1"/>
      <c r="E229" s="1"/>
    </row>
    <row r="230" ht="12.75" customHeight="1">
      <c r="B230" s="1"/>
      <c r="C230" s="1"/>
      <c r="D230" s="1"/>
      <c r="E230" s="1"/>
    </row>
    <row r="231" ht="12.75" customHeight="1">
      <c r="B231" s="1"/>
      <c r="C231" s="1"/>
      <c r="D231" s="1"/>
      <c r="E231" s="1"/>
    </row>
    <row r="232" ht="12.75" customHeight="1">
      <c r="B232" s="1"/>
      <c r="C232" s="1"/>
      <c r="D232" s="1"/>
      <c r="E232" s="1"/>
    </row>
    <row r="233" ht="12.75" customHeight="1">
      <c r="B233" s="1"/>
      <c r="C233" s="1"/>
      <c r="D233" s="1"/>
      <c r="E233" s="1"/>
    </row>
    <row r="234" ht="12.75" customHeight="1">
      <c r="B234" s="1"/>
      <c r="C234" s="1"/>
      <c r="D234" s="1"/>
      <c r="E234" s="1"/>
    </row>
    <row r="235" ht="12.75" customHeight="1">
      <c r="B235" s="1"/>
      <c r="C235" s="1"/>
      <c r="D235" s="1"/>
      <c r="E235" s="1"/>
    </row>
    <row r="236" ht="12.75" customHeight="1">
      <c r="B236" s="1"/>
      <c r="C236" s="1"/>
      <c r="D236" s="1"/>
      <c r="E236" s="1"/>
    </row>
    <row r="237" ht="12.75" customHeight="1">
      <c r="B237" s="1"/>
      <c r="C237" s="1"/>
      <c r="D237" s="1"/>
      <c r="E237" s="1"/>
    </row>
    <row r="238" ht="12.75" customHeight="1">
      <c r="B238" s="1"/>
      <c r="C238" s="1"/>
      <c r="D238" s="1"/>
      <c r="E238" s="1"/>
    </row>
    <row r="239" ht="12.75" customHeight="1">
      <c r="B239" s="1"/>
      <c r="C239" s="1"/>
      <c r="D239" s="1"/>
      <c r="E239" s="1"/>
    </row>
    <row r="240" ht="12.75" customHeight="1">
      <c r="B240" s="1"/>
      <c r="C240" s="1"/>
      <c r="D240" s="1"/>
      <c r="E240" s="1"/>
    </row>
    <row r="241" ht="12.75" customHeight="1">
      <c r="B241" s="1"/>
      <c r="C241" s="1"/>
      <c r="D241" s="1"/>
      <c r="E241" s="1"/>
    </row>
    <row r="242" ht="12.75" customHeight="1">
      <c r="B242" s="1"/>
      <c r="C242" s="1"/>
      <c r="D242" s="1"/>
      <c r="E242" s="1"/>
    </row>
    <row r="243" ht="12.75" customHeight="1">
      <c r="B243" s="1"/>
      <c r="C243" s="1"/>
      <c r="D243" s="1"/>
      <c r="E243" s="1"/>
    </row>
    <row r="244" ht="12.75" customHeight="1">
      <c r="B244" s="1"/>
      <c r="C244" s="1"/>
      <c r="D244" s="1"/>
      <c r="E244" s="1"/>
    </row>
    <row r="245" ht="12.75" customHeight="1">
      <c r="B245" s="1"/>
      <c r="C245" s="1"/>
      <c r="D245" s="1"/>
      <c r="E245" s="1"/>
    </row>
    <row r="246" ht="12.75" customHeight="1">
      <c r="B246" s="1"/>
      <c r="C246" s="1"/>
      <c r="D246" s="1"/>
      <c r="E246" s="1"/>
    </row>
    <row r="247" ht="12.75" customHeight="1">
      <c r="B247" s="1"/>
      <c r="C247" s="1"/>
      <c r="D247" s="1"/>
      <c r="E247" s="1"/>
    </row>
    <row r="248" ht="12.75" customHeight="1">
      <c r="B248" s="1"/>
      <c r="C248" s="1"/>
      <c r="D248" s="1"/>
      <c r="E248" s="1"/>
    </row>
    <row r="249" ht="12.75" customHeight="1">
      <c r="B249" s="1"/>
      <c r="C249" s="1"/>
      <c r="D249" s="1"/>
      <c r="E249" s="1"/>
    </row>
    <row r="250" ht="12.75" customHeight="1">
      <c r="B250" s="1"/>
      <c r="C250" s="1"/>
      <c r="D250" s="1"/>
      <c r="E250" s="1"/>
    </row>
    <row r="251" ht="12.75" customHeight="1">
      <c r="B251" s="1"/>
      <c r="C251" s="1"/>
      <c r="D251" s="1"/>
      <c r="E251" s="1"/>
    </row>
    <row r="252" ht="12.75" customHeight="1">
      <c r="B252" s="1"/>
      <c r="C252" s="1"/>
      <c r="D252" s="1"/>
      <c r="E252" s="1"/>
    </row>
    <row r="253" ht="12.75" customHeight="1">
      <c r="B253" s="1"/>
      <c r="C253" s="1"/>
      <c r="D253" s="1"/>
      <c r="E253" s="1"/>
    </row>
    <row r="254" ht="12.75" customHeight="1">
      <c r="B254" s="1"/>
      <c r="C254" s="1"/>
      <c r="D254" s="1"/>
      <c r="E254" s="1"/>
    </row>
    <row r="255" ht="12.75" customHeight="1">
      <c r="B255" s="1"/>
      <c r="C255" s="1"/>
      <c r="D255" s="1"/>
      <c r="E255" s="1"/>
    </row>
    <row r="256" ht="12.75" customHeight="1">
      <c r="B256" s="1"/>
      <c r="C256" s="1"/>
      <c r="D256" s="1"/>
      <c r="E256" s="1"/>
    </row>
    <row r="257" ht="12.75" customHeight="1">
      <c r="B257" s="1"/>
      <c r="C257" s="1"/>
      <c r="D257" s="1"/>
      <c r="E257" s="1"/>
    </row>
    <row r="258" ht="12.75" customHeight="1">
      <c r="B258" s="1"/>
      <c r="C258" s="1"/>
      <c r="D258" s="1"/>
      <c r="E258" s="1"/>
    </row>
    <row r="259" ht="12.75" customHeight="1">
      <c r="B259" s="1"/>
      <c r="C259" s="1"/>
      <c r="D259" s="1"/>
      <c r="E259" s="1"/>
    </row>
    <row r="260" ht="12.75" customHeight="1">
      <c r="B260" s="1"/>
      <c r="C260" s="1"/>
      <c r="D260" s="1"/>
      <c r="E260" s="1"/>
    </row>
    <row r="261" ht="12.75" customHeight="1">
      <c r="B261" s="1"/>
      <c r="C261" s="1"/>
      <c r="D261" s="1"/>
      <c r="E261" s="1"/>
    </row>
    <row r="262" ht="12.75" customHeight="1">
      <c r="B262" s="1"/>
      <c r="C262" s="1"/>
      <c r="D262" s="1"/>
      <c r="E262" s="1"/>
    </row>
    <row r="263" ht="12.75" customHeight="1">
      <c r="B263" s="1"/>
      <c r="C263" s="1"/>
      <c r="D263" s="1"/>
      <c r="E263" s="1"/>
    </row>
    <row r="264" ht="12.75" customHeight="1">
      <c r="B264" s="1"/>
      <c r="C264" s="1"/>
      <c r="D264" s="1"/>
      <c r="E264" s="1"/>
    </row>
    <row r="265" ht="12.75" customHeight="1">
      <c r="B265" s="1"/>
      <c r="C265" s="1"/>
      <c r="D265" s="1"/>
      <c r="E265" s="1"/>
    </row>
    <row r="266" ht="12.75" customHeight="1">
      <c r="B266" s="1"/>
      <c r="C266" s="1"/>
      <c r="D266" s="1"/>
      <c r="E266" s="1"/>
    </row>
    <row r="267" ht="12.75" customHeight="1">
      <c r="B267" s="1"/>
      <c r="C267" s="1"/>
      <c r="D267" s="1"/>
      <c r="E267" s="1"/>
    </row>
    <row r="268" ht="12.75" customHeight="1">
      <c r="B268" s="1"/>
      <c r="C268" s="1"/>
      <c r="D268" s="1"/>
      <c r="E268" s="1"/>
    </row>
    <row r="269" ht="12.75" customHeight="1">
      <c r="B269" s="1"/>
      <c r="C269" s="1"/>
      <c r="D269" s="1"/>
      <c r="E269" s="1"/>
    </row>
    <row r="270" ht="12.75" customHeight="1">
      <c r="B270" s="1"/>
      <c r="C270" s="1"/>
      <c r="D270" s="1"/>
      <c r="E270" s="1"/>
    </row>
    <row r="271" ht="12.75" customHeight="1">
      <c r="B271" s="1"/>
      <c r="C271" s="1"/>
      <c r="D271" s="1"/>
      <c r="E271" s="1"/>
    </row>
    <row r="272" ht="12.75" customHeight="1">
      <c r="B272" s="1"/>
      <c r="C272" s="1"/>
      <c r="D272" s="1"/>
      <c r="E272" s="1"/>
    </row>
    <row r="273" ht="12.75" customHeight="1">
      <c r="B273" s="1"/>
      <c r="C273" s="1"/>
      <c r="D273" s="1"/>
      <c r="E273" s="1"/>
    </row>
    <row r="274" ht="12.75" customHeight="1">
      <c r="B274" s="1"/>
      <c r="C274" s="1"/>
      <c r="D274" s="1"/>
      <c r="E274" s="1"/>
    </row>
    <row r="275" ht="12.75" customHeight="1">
      <c r="B275" s="1"/>
      <c r="C275" s="1"/>
      <c r="D275" s="1"/>
      <c r="E275" s="1"/>
    </row>
    <row r="276" ht="12.75" customHeight="1">
      <c r="B276" s="1"/>
      <c r="C276" s="1"/>
      <c r="D276" s="1"/>
      <c r="E276" s="1"/>
    </row>
    <row r="277" ht="12.75" customHeight="1">
      <c r="B277" s="1"/>
      <c r="C277" s="1"/>
      <c r="D277" s="1"/>
      <c r="E277" s="1"/>
    </row>
    <row r="278" ht="12.75" customHeight="1">
      <c r="B278" s="1"/>
      <c r="C278" s="1"/>
      <c r="D278" s="1"/>
      <c r="E278" s="1"/>
    </row>
    <row r="279" ht="12.75" customHeight="1">
      <c r="B279" s="1"/>
      <c r="C279" s="1"/>
      <c r="D279" s="1"/>
      <c r="E279" s="1"/>
    </row>
    <row r="280" ht="12.75" customHeight="1">
      <c r="B280" s="1"/>
      <c r="C280" s="1"/>
      <c r="D280" s="1"/>
      <c r="E280" s="1"/>
    </row>
    <row r="281" ht="12.75" customHeight="1">
      <c r="B281" s="1"/>
      <c r="C281" s="1"/>
      <c r="D281" s="1"/>
      <c r="E281" s="1"/>
    </row>
    <row r="282" ht="12.75" customHeight="1">
      <c r="B282" s="1"/>
      <c r="C282" s="1"/>
      <c r="D282" s="1"/>
      <c r="E282" s="1"/>
    </row>
    <row r="283" ht="12.75" customHeight="1">
      <c r="B283" s="1"/>
      <c r="C283" s="1"/>
      <c r="D283" s="1"/>
      <c r="E283" s="1"/>
    </row>
    <row r="284" ht="12.75" customHeight="1">
      <c r="B284" s="1"/>
      <c r="C284" s="1"/>
      <c r="D284" s="1"/>
      <c r="E284" s="1"/>
    </row>
    <row r="285" ht="12.75" customHeight="1">
      <c r="B285" s="1"/>
      <c r="C285" s="1"/>
      <c r="D285" s="1"/>
      <c r="E285" s="1"/>
    </row>
    <row r="286" ht="12.75" customHeight="1">
      <c r="B286" s="1"/>
      <c r="C286" s="1"/>
      <c r="D286" s="1"/>
      <c r="E286" s="1"/>
    </row>
    <row r="287" ht="12.75" customHeight="1">
      <c r="B287" s="1"/>
      <c r="C287" s="1"/>
      <c r="D287" s="1"/>
      <c r="E287" s="1"/>
    </row>
    <row r="288" ht="12.75" customHeight="1">
      <c r="B288" s="1"/>
      <c r="C288" s="1"/>
      <c r="D288" s="1"/>
      <c r="E288" s="1"/>
    </row>
    <row r="289" ht="12.75" customHeight="1">
      <c r="B289" s="1"/>
      <c r="C289" s="1"/>
      <c r="D289" s="1"/>
      <c r="E289" s="1"/>
    </row>
    <row r="290" ht="12.75" customHeight="1">
      <c r="B290" s="1"/>
      <c r="C290" s="1"/>
      <c r="D290" s="1"/>
      <c r="E290" s="1"/>
    </row>
    <row r="291" ht="12.75" customHeight="1">
      <c r="B291" s="1"/>
      <c r="C291" s="1"/>
      <c r="D291" s="1"/>
      <c r="E291" s="1"/>
    </row>
    <row r="292" ht="12.75" customHeight="1">
      <c r="B292" s="1"/>
      <c r="C292" s="1"/>
      <c r="D292" s="1"/>
      <c r="E292" s="1"/>
    </row>
    <row r="293" ht="12.75" customHeight="1">
      <c r="B293" s="1"/>
      <c r="C293" s="1"/>
      <c r="D293" s="1"/>
      <c r="E293" s="1"/>
    </row>
    <row r="294" ht="12.75" customHeight="1">
      <c r="B294" s="1"/>
      <c r="C294" s="1"/>
      <c r="D294" s="1"/>
      <c r="E294" s="1"/>
    </row>
    <row r="295" ht="12.75" customHeight="1">
      <c r="B295" s="1"/>
      <c r="C295" s="1"/>
      <c r="D295" s="1"/>
      <c r="E295" s="1"/>
    </row>
    <row r="296" ht="12.75" customHeight="1">
      <c r="B296" s="1"/>
      <c r="C296" s="1"/>
      <c r="D296" s="1"/>
      <c r="E296" s="1"/>
    </row>
    <row r="297" ht="12.75" customHeight="1">
      <c r="B297" s="1"/>
      <c r="C297" s="1"/>
      <c r="D297" s="1"/>
      <c r="E297" s="1"/>
    </row>
    <row r="298" ht="12.75" customHeight="1">
      <c r="B298" s="1"/>
      <c r="C298" s="1"/>
      <c r="D298" s="1"/>
      <c r="E298" s="1"/>
    </row>
    <row r="299" ht="12.75" customHeight="1">
      <c r="B299" s="1"/>
      <c r="C299" s="1"/>
      <c r="D299" s="1"/>
      <c r="E299" s="1"/>
    </row>
    <row r="300" ht="12.75" customHeight="1">
      <c r="B300" s="1"/>
      <c r="C300" s="1"/>
      <c r="D300" s="1"/>
      <c r="E300" s="1"/>
    </row>
    <row r="301" ht="12.75" customHeight="1">
      <c r="B301" s="1"/>
      <c r="C301" s="1"/>
      <c r="D301" s="1"/>
      <c r="E301" s="1"/>
    </row>
    <row r="302" ht="12.75" customHeight="1">
      <c r="B302" s="1"/>
      <c r="C302" s="1"/>
      <c r="D302" s="1"/>
      <c r="E302" s="1"/>
    </row>
    <row r="303" ht="12.75" customHeight="1">
      <c r="B303" s="1"/>
      <c r="C303" s="1"/>
      <c r="D303" s="1"/>
      <c r="E303" s="1"/>
    </row>
    <row r="304" ht="12.75" customHeight="1">
      <c r="B304" s="1"/>
      <c r="C304" s="1"/>
      <c r="D304" s="1"/>
      <c r="E304" s="1"/>
    </row>
    <row r="305" ht="12.75" customHeight="1">
      <c r="B305" s="1"/>
      <c r="C305" s="1"/>
      <c r="D305" s="1"/>
      <c r="E305" s="1"/>
    </row>
    <row r="306" ht="12.75" customHeight="1">
      <c r="B306" s="1"/>
      <c r="C306" s="1"/>
      <c r="D306" s="1"/>
      <c r="E306" s="1"/>
    </row>
    <row r="307" ht="12.75" customHeight="1">
      <c r="B307" s="1"/>
      <c r="C307" s="1"/>
      <c r="D307" s="1"/>
      <c r="E307" s="1"/>
    </row>
    <row r="308" ht="12.75" customHeight="1">
      <c r="B308" s="1"/>
      <c r="C308" s="1"/>
      <c r="D308" s="1"/>
      <c r="E308" s="1"/>
    </row>
    <row r="309" ht="12.75" customHeight="1">
      <c r="B309" s="1"/>
      <c r="C309" s="1"/>
      <c r="D309" s="1"/>
      <c r="E309" s="1"/>
    </row>
    <row r="310" ht="12.75" customHeight="1">
      <c r="B310" s="1"/>
      <c r="C310" s="1"/>
      <c r="D310" s="1"/>
      <c r="E310" s="1"/>
    </row>
    <row r="311" ht="12.75" customHeight="1">
      <c r="B311" s="1"/>
      <c r="C311" s="1"/>
      <c r="D311" s="1"/>
      <c r="E311" s="1"/>
    </row>
    <row r="312" ht="12.75" customHeight="1">
      <c r="B312" s="1"/>
      <c r="C312" s="1"/>
      <c r="D312" s="1"/>
      <c r="E312" s="1"/>
    </row>
    <row r="313" ht="12.75" customHeight="1">
      <c r="B313" s="1"/>
      <c r="C313" s="1"/>
      <c r="D313" s="1"/>
      <c r="E313" s="1"/>
    </row>
    <row r="314" ht="12.75" customHeight="1">
      <c r="B314" s="1"/>
      <c r="C314" s="1"/>
      <c r="D314" s="1"/>
      <c r="E314" s="1"/>
    </row>
    <row r="315" ht="12.75" customHeight="1">
      <c r="B315" s="1"/>
      <c r="C315" s="1"/>
      <c r="D315" s="1"/>
      <c r="E315" s="1"/>
    </row>
    <row r="316" ht="12.75" customHeight="1">
      <c r="B316" s="1"/>
      <c r="C316" s="1"/>
      <c r="D316" s="1"/>
      <c r="E316" s="1"/>
    </row>
    <row r="317" ht="12.75" customHeight="1">
      <c r="B317" s="1"/>
      <c r="C317" s="1"/>
      <c r="D317" s="1"/>
      <c r="E317" s="1"/>
    </row>
    <row r="318" ht="12.75" customHeight="1">
      <c r="B318" s="1"/>
      <c r="C318" s="1"/>
      <c r="D318" s="1"/>
      <c r="E318" s="1"/>
    </row>
    <row r="319" ht="12.75" customHeight="1">
      <c r="B319" s="1"/>
      <c r="C319" s="1"/>
      <c r="D319" s="1"/>
      <c r="E319" s="1"/>
    </row>
    <row r="320" ht="12.75" customHeight="1">
      <c r="B320" s="1"/>
      <c r="C320" s="1"/>
      <c r="D320" s="1"/>
      <c r="E320" s="1"/>
    </row>
    <row r="321" ht="12.75" customHeight="1">
      <c r="B321" s="1"/>
      <c r="C321" s="1"/>
      <c r="D321" s="1"/>
      <c r="E321" s="1"/>
    </row>
    <row r="322" ht="12.75" customHeight="1">
      <c r="B322" s="1"/>
      <c r="C322" s="1"/>
      <c r="D322" s="1"/>
      <c r="E322" s="1"/>
    </row>
    <row r="323" ht="12.75" customHeight="1">
      <c r="B323" s="1"/>
      <c r="C323" s="1"/>
      <c r="D323" s="1"/>
      <c r="E323" s="1"/>
    </row>
    <row r="324" ht="12.75" customHeight="1">
      <c r="B324" s="1"/>
      <c r="C324" s="1"/>
      <c r="D324" s="1"/>
      <c r="E324" s="1"/>
    </row>
    <row r="325" ht="12.75" customHeight="1">
      <c r="B325" s="1"/>
      <c r="C325" s="1"/>
      <c r="D325" s="1"/>
      <c r="E325" s="1"/>
    </row>
    <row r="326" ht="12.75" customHeight="1">
      <c r="B326" s="1"/>
      <c r="C326" s="1"/>
      <c r="D326" s="1"/>
      <c r="E326" s="1"/>
    </row>
    <row r="327" ht="12.75" customHeight="1">
      <c r="B327" s="1"/>
      <c r="C327" s="1"/>
      <c r="D327" s="1"/>
      <c r="E327" s="1"/>
    </row>
    <row r="328" ht="12.75" customHeight="1">
      <c r="B328" s="1"/>
      <c r="C328" s="1"/>
      <c r="D328" s="1"/>
      <c r="E328" s="1"/>
    </row>
    <row r="329" ht="12.75" customHeight="1">
      <c r="B329" s="1"/>
      <c r="C329" s="1"/>
      <c r="D329" s="1"/>
      <c r="E329" s="1"/>
    </row>
    <row r="330" ht="12.75" customHeight="1">
      <c r="B330" s="1"/>
      <c r="C330" s="1"/>
      <c r="D330" s="1"/>
      <c r="E330" s="1"/>
    </row>
    <row r="331" ht="12.75" customHeight="1">
      <c r="B331" s="1"/>
      <c r="C331" s="1"/>
      <c r="D331" s="1"/>
      <c r="E331" s="1"/>
    </row>
    <row r="332" ht="12.75" customHeight="1">
      <c r="B332" s="1"/>
      <c r="C332" s="1"/>
      <c r="D332" s="1"/>
      <c r="E332" s="1"/>
    </row>
    <row r="333" ht="12.75" customHeight="1">
      <c r="B333" s="1"/>
      <c r="C333" s="1"/>
      <c r="D333" s="1"/>
      <c r="E333" s="1"/>
    </row>
    <row r="334" ht="12.75" customHeight="1">
      <c r="B334" s="1"/>
      <c r="C334" s="1"/>
      <c r="D334" s="1"/>
      <c r="E334" s="1"/>
    </row>
    <row r="335" ht="12.75" customHeight="1">
      <c r="B335" s="1"/>
      <c r="C335" s="1"/>
      <c r="D335" s="1"/>
      <c r="E335" s="1"/>
    </row>
    <row r="336" ht="12.75" customHeight="1">
      <c r="B336" s="1"/>
      <c r="C336" s="1"/>
      <c r="D336" s="1"/>
      <c r="E336" s="1"/>
    </row>
    <row r="337" ht="12.75" customHeight="1">
      <c r="B337" s="1"/>
      <c r="C337" s="1"/>
      <c r="D337" s="1"/>
      <c r="E337" s="1"/>
    </row>
    <row r="338" ht="12.75" customHeight="1">
      <c r="B338" s="1"/>
      <c r="C338" s="1"/>
      <c r="D338" s="1"/>
      <c r="E338" s="1"/>
    </row>
    <row r="339" ht="12.75" customHeight="1">
      <c r="B339" s="1"/>
      <c r="C339" s="1"/>
      <c r="D339" s="1"/>
      <c r="E339" s="1"/>
    </row>
    <row r="340" ht="12.75" customHeight="1">
      <c r="B340" s="1"/>
      <c r="C340" s="1"/>
      <c r="D340" s="1"/>
      <c r="E340" s="1"/>
    </row>
    <row r="341" ht="12.75" customHeight="1">
      <c r="B341" s="1"/>
      <c r="C341" s="1"/>
      <c r="D341" s="1"/>
      <c r="E341" s="1"/>
    </row>
    <row r="342" ht="12.75" customHeight="1">
      <c r="B342" s="1"/>
      <c r="C342" s="1"/>
      <c r="D342" s="1"/>
      <c r="E342" s="1"/>
    </row>
    <row r="343" ht="12.75" customHeight="1">
      <c r="B343" s="1"/>
      <c r="C343" s="1"/>
      <c r="D343" s="1"/>
      <c r="E343" s="1"/>
    </row>
    <row r="344" ht="12.75" customHeight="1">
      <c r="B344" s="1"/>
      <c r="C344" s="1"/>
      <c r="D344" s="1"/>
      <c r="E344" s="1"/>
    </row>
    <row r="345" ht="12.75" customHeight="1">
      <c r="B345" s="1"/>
      <c r="C345" s="1"/>
      <c r="D345" s="1"/>
      <c r="E345" s="1"/>
    </row>
    <row r="346" ht="12.75" customHeight="1">
      <c r="B346" s="1"/>
      <c r="C346" s="1"/>
      <c r="D346" s="1"/>
      <c r="E346" s="1"/>
    </row>
    <row r="347" ht="12.75" customHeight="1">
      <c r="B347" s="1"/>
      <c r="C347" s="1"/>
      <c r="D347" s="1"/>
      <c r="E347" s="1"/>
    </row>
    <row r="348" ht="12.75" customHeight="1">
      <c r="B348" s="1"/>
      <c r="C348" s="1"/>
      <c r="D348" s="1"/>
      <c r="E348" s="1"/>
    </row>
    <row r="349" ht="12.75" customHeight="1">
      <c r="B349" s="1"/>
      <c r="C349" s="1"/>
      <c r="D349" s="1"/>
      <c r="E349" s="1"/>
    </row>
    <row r="350" ht="12.75" customHeight="1">
      <c r="B350" s="1"/>
      <c r="C350" s="1"/>
      <c r="D350" s="1"/>
      <c r="E350" s="1"/>
    </row>
    <row r="351" ht="12.75" customHeight="1">
      <c r="B351" s="1"/>
      <c r="C351" s="1"/>
      <c r="D351" s="1"/>
      <c r="E351" s="1"/>
    </row>
    <row r="352" ht="12.75" customHeight="1">
      <c r="B352" s="1"/>
      <c r="C352" s="1"/>
      <c r="D352" s="1"/>
      <c r="E352" s="1"/>
    </row>
    <row r="353" ht="12.75" customHeight="1">
      <c r="B353" s="1"/>
      <c r="C353" s="1"/>
      <c r="D353" s="1"/>
      <c r="E353" s="1"/>
    </row>
    <row r="354" ht="12.75" customHeight="1">
      <c r="B354" s="1"/>
      <c r="C354" s="1"/>
      <c r="D354" s="1"/>
      <c r="E354" s="1"/>
    </row>
    <row r="355" ht="12.75" customHeight="1">
      <c r="B355" s="1"/>
      <c r="C355" s="1"/>
      <c r="D355" s="1"/>
      <c r="E355" s="1"/>
    </row>
    <row r="356" ht="12.75" customHeight="1">
      <c r="B356" s="1"/>
      <c r="C356" s="1"/>
      <c r="D356" s="1"/>
      <c r="E356" s="1"/>
    </row>
    <row r="357" ht="12.75" customHeight="1">
      <c r="B357" s="1"/>
      <c r="C357" s="1"/>
      <c r="D357" s="1"/>
      <c r="E357" s="1"/>
    </row>
    <row r="358" ht="12.75" customHeight="1">
      <c r="B358" s="1"/>
      <c r="C358" s="1"/>
      <c r="D358" s="1"/>
      <c r="E358" s="1"/>
    </row>
    <row r="359" ht="12.75" customHeight="1">
      <c r="B359" s="1"/>
      <c r="C359" s="1"/>
      <c r="D359" s="1"/>
      <c r="E359" s="1"/>
    </row>
    <row r="360" ht="12.75" customHeight="1">
      <c r="B360" s="1"/>
      <c r="C360" s="1"/>
      <c r="D360" s="1"/>
      <c r="E360" s="1"/>
    </row>
    <row r="361" ht="12.75" customHeight="1">
      <c r="B361" s="1"/>
      <c r="C361" s="1"/>
      <c r="D361" s="1"/>
      <c r="E361" s="1"/>
    </row>
    <row r="362" ht="12.75" customHeight="1">
      <c r="B362" s="1"/>
      <c r="C362" s="1"/>
      <c r="D362" s="1"/>
      <c r="E362" s="1"/>
    </row>
    <row r="363" ht="12.75" customHeight="1">
      <c r="B363" s="1"/>
      <c r="C363" s="1"/>
      <c r="D363" s="1"/>
      <c r="E363" s="1"/>
    </row>
    <row r="364" ht="12.75" customHeight="1">
      <c r="B364" s="1"/>
      <c r="C364" s="1"/>
      <c r="D364" s="1"/>
      <c r="E364" s="1"/>
    </row>
    <row r="365" ht="12.75" customHeight="1">
      <c r="B365" s="1"/>
      <c r="C365" s="1"/>
      <c r="D365" s="1"/>
      <c r="E365" s="1"/>
    </row>
    <row r="366" ht="12.75" customHeight="1">
      <c r="B366" s="1"/>
      <c r="C366" s="1"/>
      <c r="D366" s="1"/>
      <c r="E366" s="1"/>
    </row>
    <row r="367" ht="12.75" customHeight="1">
      <c r="B367" s="1"/>
      <c r="C367" s="1"/>
      <c r="D367" s="1"/>
      <c r="E367" s="1"/>
    </row>
    <row r="368" ht="12.75" customHeight="1">
      <c r="B368" s="1"/>
      <c r="C368" s="1"/>
      <c r="D368" s="1"/>
      <c r="E368" s="1"/>
    </row>
    <row r="369" ht="12.75" customHeight="1">
      <c r="B369" s="1"/>
      <c r="C369" s="1"/>
      <c r="D369" s="1"/>
      <c r="E369" s="1"/>
    </row>
    <row r="370" ht="12.75" customHeight="1">
      <c r="B370" s="1"/>
      <c r="C370" s="1"/>
      <c r="D370" s="1"/>
      <c r="E370" s="1"/>
    </row>
    <row r="371" ht="12.75" customHeight="1">
      <c r="B371" s="1"/>
      <c r="C371" s="1"/>
      <c r="D371" s="1"/>
      <c r="E371" s="1"/>
    </row>
    <row r="372" ht="12.75" customHeight="1">
      <c r="B372" s="1"/>
      <c r="C372" s="1"/>
      <c r="D372" s="1"/>
      <c r="E372" s="1"/>
    </row>
    <row r="373" ht="12.75" customHeight="1">
      <c r="B373" s="1"/>
      <c r="C373" s="1"/>
      <c r="D373" s="1"/>
      <c r="E373" s="1"/>
    </row>
    <row r="374" ht="12.75" customHeight="1">
      <c r="B374" s="1"/>
      <c r="C374" s="1"/>
      <c r="D374" s="1"/>
      <c r="E374" s="1"/>
    </row>
    <row r="375" ht="12.75" customHeight="1">
      <c r="B375" s="1"/>
      <c r="C375" s="1"/>
      <c r="D375" s="1"/>
      <c r="E375" s="1"/>
    </row>
    <row r="376" ht="12.75" customHeight="1">
      <c r="B376" s="1"/>
      <c r="C376" s="1"/>
      <c r="D376" s="1"/>
      <c r="E376" s="1"/>
    </row>
    <row r="377" ht="12.75" customHeight="1">
      <c r="B377" s="1"/>
      <c r="C377" s="1"/>
      <c r="D377" s="1"/>
      <c r="E377" s="1"/>
    </row>
    <row r="378" ht="12.75" customHeight="1">
      <c r="B378" s="1"/>
      <c r="C378" s="1"/>
      <c r="D378" s="1"/>
      <c r="E378" s="1"/>
    </row>
    <row r="379" ht="12.75" customHeight="1">
      <c r="B379" s="1"/>
      <c r="C379" s="1"/>
      <c r="D379" s="1"/>
      <c r="E379" s="1"/>
    </row>
    <row r="380" ht="12.75" customHeight="1">
      <c r="B380" s="1"/>
      <c r="C380" s="1"/>
      <c r="D380" s="1"/>
      <c r="E380" s="1"/>
    </row>
    <row r="381" ht="12.75" customHeight="1">
      <c r="B381" s="1"/>
      <c r="C381" s="1"/>
      <c r="D381" s="1"/>
      <c r="E381" s="1"/>
    </row>
    <row r="382" ht="12.75" customHeight="1">
      <c r="B382" s="1"/>
      <c r="C382" s="1"/>
      <c r="D382" s="1"/>
      <c r="E382" s="1"/>
    </row>
    <row r="383" ht="12.75" customHeight="1">
      <c r="B383" s="1"/>
      <c r="C383" s="1"/>
      <c r="D383" s="1"/>
      <c r="E383" s="1"/>
    </row>
    <row r="384" ht="12.75" customHeight="1">
      <c r="B384" s="1"/>
      <c r="C384" s="1"/>
      <c r="D384" s="1"/>
      <c r="E384" s="1"/>
    </row>
    <row r="385" ht="12.75" customHeight="1">
      <c r="B385" s="1"/>
      <c r="C385" s="1"/>
      <c r="D385" s="1"/>
      <c r="E385" s="1"/>
    </row>
    <row r="386" ht="12.75" customHeight="1">
      <c r="B386" s="1"/>
      <c r="C386" s="1"/>
      <c r="D386" s="1"/>
      <c r="E386" s="1"/>
    </row>
    <row r="387" ht="12.75" customHeight="1">
      <c r="B387" s="1"/>
      <c r="C387" s="1"/>
      <c r="D387" s="1"/>
      <c r="E387" s="1"/>
    </row>
    <row r="388" ht="12.75" customHeight="1">
      <c r="B388" s="1"/>
      <c r="C388" s="1"/>
      <c r="D388" s="1"/>
      <c r="E388" s="1"/>
    </row>
    <row r="389" ht="12.75" customHeight="1">
      <c r="B389" s="1"/>
      <c r="C389" s="1"/>
      <c r="D389" s="1"/>
      <c r="E389" s="1"/>
    </row>
    <row r="390" ht="12.75" customHeight="1">
      <c r="B390" s="1"/>
      <c r="C390" s="1"/>
      <c r="D390" s="1"/>
      <c r="E390" s="1"/>
    </row>
    <row r="391" ht="12.75" customHeight="1">
      <c r="B391" s="1"/>
      <c r="C391" s="1"/>
      <c r="D391" s="1"/>
      <c r="E391" s="1"/>
    </row>
    <row r="392" ht="12.75" customHeight="1">
      <c r="B392" s="1"/>
      <c r="C392" s="1"/>
      <c r="D392" s="1"/>
      <c r="E392" s="1"/>
    </row>
    <row r="393" ht="12.75" customHeight="1">
      <c r="B393" s="1"/>
      <c r="C393" s="1"/>
      <c r="D393" s="1"/>
      <c r="E393" s="1"/>
    </row>
    <row r="394" ht="12.75" customHeight="1">
      <c r="B394" s="1"/>
      <c r="C394" s="1"/>
      <c r="D394" s="1"/>
      <c r="E394" s="1"/>
    </row>
    <row r="395" ht="12.75" customHeight="1">
      <c r="B395" s="1"/>
      <c r="C395" s="1"/>
      <c r="D395" s="1"/>
      <c r="E395" s="1"/>
    </row>
    <row r="396" ht="12.75" customHeight="1">
      <c r="B396" s="1"/>
      <c r="C396" s="1"/>
      <c r="D396" s="1"/>
      <c r="E396" s="1"/>
    </row>
    <row r="397" ht="12.75" customHeight="1">
      <c r="B397" s="1"/>
      <c r="C397" s="1"/>
      <c r="D397" s="1"/>
      <c r="E397" s="1"/>
    </row>
    <row r="398" ht="12.75" customHeight="1">
      <c r="B398" s="1"/>
      <c r="C398" s="1"/>
      <c r="D398" s="1"/>
      <c r="E398" s="1"/>
    </row>
    <row r="399" ht="12.75" customHeight="1">
      <c r="B399" s="1"/>
      <c r="C399" s="1"/>
      <c r="D399" s="1"/>
      <c r="E399" s="1"/>
    </row>
    <row r="400" ht="12.75" customHeight="1">
      <c r="B400" s="1"/>
      <c r="C400" s="1"/>
      <c r="D400" s="1"/>
      <c r="E400" s="1"/>
    </row>
    <row r="401" ht="12.75" customHeight="1">
      <c r="B401" s="1"/>
      <c r="C401" s="1"/>
      <c r="D401" s="1"/>
      <c r="E401" s="1"/>
    </row>
    <row r="402" ht="12.75" customHeight="1">
      <c r="B402" s="1"/>
      <c r="C402" s="1"/>
      <c r="D402" s="1"/>
      <c r="E402" s="1"/>
    </row>
    <row r="403" ht="12.75" customHeight="1">
      <c r="B403" s="1"/>
      <c r="C403" s="1"/>
      <c r="D403" s="1"/>
      <c r="E403" s="1"/>
    </row>
    <row r="404" ht="12.75" customHeight="1">
      <c r="B404" s="1"/>
      <c r="C404" s="1"/>
      <c r="D404" s="1"/>
      <c r="E404" s="1"/>
    </row>
    <row r="405" ht="12.75" customHeight="1">
      <c r="B405" s="1"/>
      <c r="C405" s="1"/>
      <c r="D405" s="1"/>
      <c r="E405" s="1"/>
    </row>
    <row r="406" ht="12.75" customHeight="1">
      <c r="B406" s="1"/>
      <c r="C406" s="1"/>
      <c r="D406" s="1"/>
      <c r="E406" s="1"/>
    </row>
    <row r="407" ht="12.75" customHeight="1">
      <c r="B407" s="1"/>
      <c r="C407" s="1"/>
      <c r="D407" s="1"/>
      <c r="E407" s="1"/>
    </row>
    <row r="408" ht="12.75" customHeight="1">
      <c r="B408" s="1"/>
      <c r="C408" s="1"/>
      <c r="D408" s="1"/>
      <c r="E408" s="1"/>
    </row>
    <row r="409" ht="12.75" customHeight="1">
      <c r="B409" s="1"/>
      <c r="C409" s="1"/>
      <c r="D409" s="1"/>
      <c r="E409" s="1"/>
    </row>
    <row r="410" ht="12.75" customHeight="1">
      <c r="B410" s="1"/>
      <c r="C410" s="1"/>
      <c r="D410" s="1"/>
      <c r="E410" s="1"/>
    </row>
    <row r="411" ht="12.75" customHeight="1">
      <c r="B411" s="1"/>
      <c r="C411" s="1"/>
      <c r="D411" s="1"/>
      <c r="E411" s="1"/>
    </row>
    <row r="412" ht="12.75" customHeight="1">
      <c r="B412" s="1"/>
      <c r="C412" s="1"/>
      <c r="D412" s="1"/>
      <c r="E412" s="1"/>
    </row>
    <row r="413" ht="12.75" customHeight="1">
      <c r="B413" s="1"/>
      <c r="C413" s="1"/>
      <c r="D413" s="1"/>
      <c r="E413" s="1"/>
    </row>
    <row r="414" ht="12.75" customHeight="1">
      <c r="B414" s="1"/>
      <c r="C414" s="1"/>
      <c r="D414" s="1"/>
      <c r="E414" s="1"/>
    </row>
    <row r="415" ht="12.75" customHeight="1">
      <c r="B415" s="1"/>
      <c r="C415" s="1"/>
      <c r="D415" s="1"/>
      <c r="E415" s="1"/>
    </row>
    <row r="416" ht="12.75" customHeight="1">
      <c r="B416" s="1"/>
      <c r="C416" s="1"/>
      <c r="D416" s="1"/>
      <c r="E416" s="1"/>
    </row>
    <row r="417" ht="12.75" customHeight="1">
      <c r="B417" s="1"/>
      <c r="C417" s="1"/>
      <c r="D417" s="1"/>
      <c r="E417" s="1"/>
    </row>
    <row r="418" ht="12.75" customHeight="1">
      <c r="B418" s="1"/>
      <c r="C418" s="1"/>
      <c r="D418" s="1"/>
      <c r="E418" s="1"/>
    </row>
    <row r="419" ht="12.75" customHeight="1">
      <c r="B419" s="1"/>
      <c r="C419" s="1"/>
      <c r="D419" s="1"/>
      <c r="E419" s="1"/>
    </row>
    <row r="420" ht="12.75" customHeight="1">
      <c r="B420" s="1"/>
      <c r="C420" s="1"/>
      <c r="D420" s="1"/>
      <c r="E420" s="1"/>
    </row>
    <row r="421" ht="12.75" customHeight="1">
      <c r="B421" s="1"/>
      <c r="C421" s="1"/>
      <c r="D421" s="1"/>
      <c r="E421" s="1"/>
    </row>
    <row r="422" ht="12.75" customHeight="1">
      <c r="B422" s="1"/>
      <c r="C422" s="1"/>
      <c r="D422" s="1"/>
      <c r="E422" s="1"/>
    </row>
    <row r="423" ht="12.75" customHeight="1">
      <c r="B423" s="1"/>
      <c r="C423" s="1"/>
      <c r="D423" s="1"/>
      <c r="E423" s="1"/>
    </row>
    <row r="424" ht="12.75" customHeight="1">
      <c r="B424" s="1"/>
      <c r="C424" s="1"/>
      <c r="D424" s="1"/>
      <c r="E424" s="1"/>
    </row>
    <row r="425" ht="12.75" customHeight="1">
      <c r="B425" s="1"/>
      <c r="C425" s="1"/>
      <c r="D425" s="1"/>
      <c r="E425" s="1"/>
    </row>
    <row r="426" ht="12.75" customHeight="1">
      <c r="B426" s="1"/>
      <c r="C426" s="1"/>
      <c r="D426" s="1"/>
      <c r="E426" s="1"/>
    </row>
    <row r="427" ht="12.75" customHeight="1">
      <c r="B427" s="1"/>
      <c r="C427" s="1"/>
      <c r="D427" s="1"/>
      <c r="E427" s="1"/>
    </row>
    <row r="428" ht="12.75" customHeight="1">
      <c r="B428" s="1"/>
      <c r="C428" s="1"/>
      <c r="D428" s="1"/>
      <c r="E428" s="1"/>
    </row>
    <row r="429" ht="12.75" customHeight="1">
      <c r="B429" s="1"/>
      <c r="C429" s="1"/>
      <c r="D429" s="1"/>
      <c r="E429" s="1"/>
    </row>
    <row r="430" ht="12.75" customHeight="1">
      <c r="B430" s="1"/>
      <c r="C430" s="1"/>
      <c r="D430" s="1"/>
      <c r="E430" s="1"/>
    </row>
    <row r="431" ht="12.75" customHeight="1">
      <c r="B431" s="1"/>
      <c r="C431" s="1"/>
      <c r="D431" s="1"/>
      <c r="E431" s="1"/>
    </row>
    <row r="432" ht="12.75" customHeight="1">
      <c r="B432" s="1"/>
      <c r="C432" s="1"/>
      <c r="D432" s="1"/>
      <c r="E432" s="1"/>
    </row>
    <row r="433" ht="12.75" customHeight="1">
      <c r="B433" s="1"/>
      <c r="C433" s="1"/>
      <c r="D433" s="1"/>
      <c r="E433" s="1"/>
    </row>
    <row r="434" ht="12.75" customHeight="1">
      <c r="B434" s="1"/>
      <c r="C434" s="1"/>
      <c r="D434" s="1"/>
      <c r="E434" s="1"/>
    </row>
    <row r="435" ht="12.75" customHeight="1">
      <c r="B435" s="1"/>
      <c r="C435" s="1"/>
      <c r="D435" s="1"/>
      <c r="E435" s="1"/>
    </row>
    <row r="436" ht="12.75" customHeight="1">
      <c r="B436" s="1"/>
      <c r="C436" s="1"/>
      <c r="D436" s="1"/>
      <c r="E436" s="1"/>
    </row>
    <row r="437" ht="12.75" customHeight="1">
      <c r="B437" s="1"/>
      <c r="C437" s="1"/>
      <c r="D437" s="1"/>
      <c r="E437" s="1"/>
    </row>
    <row r="438" ht="12.75" customHeight="1">
      <c r="B438" s="1"/>
      <c r="C438" s="1"/>
      <c r="D438" s="1"/>
      <c r="E438" s="1"/>
    </row>
    <row r="439" ht="12.75" customHeight="1">
      <c r="B439" s="1"/>
      <c r="C439" s="1"/>
      <c r="D439" s="1"/>
      <c r="E439" s="1"/>
    </row>
    <row r="440" ht="12.75" customHeight="1">
      <c r="B440" s="1"/>
      <c r="C440" s="1"/>
      <c r="D440" s="1"/>
      <c r="E440" s="1"/>
    </row>
    <row r="441" ht="12.75" customHeight="1">
      <c r="B441" s="1"/>
      <c r="C441" s="1"/>
      <c r="D441" s="1"/>
      <c r="E441" s="1"/>
    </row>
    <row r="442" ht="12.75" customHeight="1">
      <c r="B442" s="1"/>
      <c r="C442" s="1"/>
      <c r="D442" s="1"/>
      <c r="E442" s="1"/>
    </row>
    <row r="443" ht="12.75" customHeight="1">
      <c r="B443" s="1"/>
      <c r="C443" s="1"/>
      <c r="D443" s="1"/>
      <c r="E443" s="1"/>
    </row>
    <row r="444" ht="12.75" customHeight="1">
      <c r="B444" s="1"/>
      <c r="C444" s="1"/>
      <c r="D444" s="1"/>
      <c r="E444" s="1"/>
    </row>
    <row r="445" ht="12.75" customHeight="1">
      <c r="B445" s="1"/>
      <c r="C445" s="1"/>
      <c r="D445" s="1"/>
      <c r="E445" s="1"/>
    </row>
    <row r="446" ht="12.75" customHeight="1">
      <c r="B446" s="1"/>
      <c r="C446" s="1"/>
      <c r="D446" s="1"/>
      <c r="E446" s="1"/>
    </row>
    <row r="447" ht="12.75" customHeight="1">
      <c r="B447" s="1"/>
      <c r="C447" s="1"/>
      <c r="D447" s="1"/>
      <c r="E447" s="1"/>
    </row>
    <row r="448" ht="12.75" customHeight="1">
      <c r="B448" s="1"/>
      <c r="C448" s="1"/>
      <c r="D448" s="1"/>
      <c r="E448" s="1"/>
    </row>
    <row r="449" ht="12.75" customHeight="1">
      <c r="B449" s="1"/>
      <c r="C449" s="1"/>
      <c r="D449" s="1"/>
      <c r="E449" s="1"/>
    </row>
    <row r="450" ht="12.75" customHeight="1">
      <c r="B450" s="1"/>
      <c r="C450" s="1"/>
      <c r="D450" s="1"/>
      <c r="E450" s="1"/>
    </row>
    <row r="451" ht="12.75" customHeight="1">
      <c r="B451" s="1"/>
      <c r="C451" s="1"/>
      <c r="D451" s="1"/>
      <c r="E451" s="1"/>
    </row>
    <row r="452" ht="12.75" customHeight="1">
      <c r="B452" s="1"/>
      <c r="C452" s="1"/>
      <c r="D452" s="1"/>
      <c r="E452" s="1"/>
    </row>
    <row r="453" ht="12.75" customHeight="1">
      <c r="B453" s="1"/>
      <c r="C453" s="1"/>
      <c r="D453" s="1"/>
      <c r="E453" s="1"/>
    </row>
    <row r="454" ht="12.75" customHeight="1">
      <c r="B454" s="1"/>
      <c r="C454" s="1"/>
      <c r="D454" s="1"/>
      <c r="E454" s="1"/>
    </row>
    <row r="455" ht="12.75" customHeight="1">
      <c r="B455" s="1"/>
      <c r="C455" s="1"/>
      <c r="D455" s="1"/>
      <c r="E455" s="1"/>
    </row>
    <row r="456" ht="12.75" customHeight="1">
      <c r="B456" s="1"/>
      <c r="C456" s="1"/>
      <c r="D456" s="1"/>
      <c r="E456" s="1"/>
    </row>
    <row r="457" ht="12.75" customHeight="1">
      <c r="B457" s="1"/>
      <c r="C457" s="1"/>
      <c r="D457" s="1"/>
      <c r="E457" s="1"/>
    </row>
    <row r="458" ht="12.75" customHeight="1">
      <c r="B458" s="1"/>
      <c r="C458" s="1"/>
      <c r="D458" s="1"/>
      <c r="E458" s="1"/>
    </row>
    <row r="459" ht="12.75" customHeight="1">
      <c r="B459" s="1"/>
      <c r="C459" s="1"/>
      <c r="D459" s="1"/>
      <c r="E459" s="1"/>
    </row>
    <row r="460" ht="12.75" customHeight="1">
      <c r="B460" s="1"/>
      <c r="C460" s="1"/>
      <c r="D460" s="1"/>
      <c r="E460" s="1"/>
    </row>
    <row r="461" ht="12.75" customHeight="1">
      <c r="B461" s="1"/>
      <c r="C461" s="1"/>
      <c r="D461" s="1"/>
      <c r="E461" s="1"/>
    </row>
    <row r="462" ht="12.75" customHeight="1">
      <c r="B462" s="1"/>
      <c r="C462" s="1"/>
      <c r="D462" s="1"/>
      <c r="E462" s="1"/>
    </row>
    <row r="463" ht="12.75" customHeight="1">
      <c r="B463" s="1"/>
      <c r="C463" s="1"/>
      <c r="D463" s="1"/>
      <c r="E463" s="1"/>
    </row>
    <row r="464" ht="12.75" customHeight="1">
      <c r="B464" s="1"/>
      <c r="C464" s="1"/>
      <c r="D464" s="1"/>
      <c r="E464" s="1"/>
    </row>
    <row r="465" ht="12.75" customHeight="1">
      <c r="B465" s="1"/>
      <c r="C465" s="1"/>
      <c r="D465" s="1"/>
      <c r="E465" s="1"/>
    </row>
    <row r="466" ht="12.75" customHeight="1">
      <c r="B466" s="1"/>
      <c r="C466" s="1"/>
      <c r="D466" s="1"/>
      <c r="E466" s="1"/>
    </row>
    <row r="467" ht="12.75" customHeight="1">
      <c r="B467" s="1"/>
      <c r="C467" s="1"/>
      <c r="D467" s="1"/>
      <c r="E467" s="1"/>
    </row>
    <row r="468" ht="12.75" customHeight="1">
      <c r="B468" s="1"/>
      <c r="C468" s="1"/>
      <c r="D468" s="1"/>
      <c r="E468" s="1"/>
    </row>
    <row r="469" ht="12.75" customHeight="1">
      <c r="B469" s="1"/>
      <c r="C469" s="1"/>
      <c r="D469" s="1"/>
      <c r="E469" s="1"/>
    </row>
    <row r="470" ht="12.75" customHeight="1">
      <c r="B470" s="1"/>
      <c r="C470" s="1"/>
      <c r="D470" s="1"/>
      <c r="E470" s="1"/>
    </row>
    <row r="471" ht="12.75" customHeight="1">
      <c r="B471" s="1"/>
      <c r="C471" s="1"/>
      <c r="D471" s="1"/>
      <c r="E471" s="1"/>
    </row>
    <row r="472" ht="12.75" customHeight="1">
      <c r="B472" s="1"/>
      <c r="C472" s="1"/>
      <c r="D472" s="1"/>
      <c r="E472" s="1"/>
    </row>
    <row r="473" ht="12.75" customHeight="1">
      <c r="B473" s="1"/>
      <c r="C473" s="1"/>
      <c r="D473" s="1"/>
      <c r="E473" s="1"/>
    </row>
    <row r="474" ht="12.75" customHeight="1">
      <c r="B474" s="1"/>
      <c r="C474" s="1"/>
      <c r="D474" s="1"/>
      <c r="E474" s="1"/>
    </row>
    <row r="475" ht="12.75" customHeight="1">
      <c r="B475" s="1"/>
      <c r="C475" s="1"/>
      <c r="D475" s="1"/>
      <c r="E475" s="1"/>
    </row>
    <row r="476" ht="12.75" customHeight="1">
      <c r="B476" s="1"/>
      <c r="C476" s="1"/>
      <c r="D476" s="1"/>
      <c r="E476" s="1"/>
    </row>
    <row r="477" ht="12.75" customHeight="1">
      <c r="B477" s="1"/>
      <c r="C477" s="1"/>
      <c r="D477" s="1"/>
      <c r="E477" s="1"/>
    </row>
    <row r="478" ht="12.75" customHeight="1">
      <c r="B478" s="1"/>
      <c r="C478" s="1"/>
      <c r="D478" s="1"/>
      <c r="E478" s="1"/>
    </row>
    <row r="479" ht="12.75" customHeight="1">
      <c r="B479" s="1"/>
      <c r="C479" s="1"/>
      <c r="D479" s="1"/>
      <c r="E479" s="1"/>
    </row>
    <row r="480" ht="12.75" customHeight="1">
      <c r="B480" s="1"/>
      <c r="C480" s="1"/>
      <c r="D480" s="1"/>
      <c r="E480" s="1"/>
    </row>
    <row r="481" ht="12.75" customHeight="1">
      <c r="B481" s="1"/>
      <c r="C481" s="1"/>
      <c r="D481" s="1"/>
      <c r="E481" s="1"/>
    </row>
    <row r="482" ht="12.75" customHeight="1">
      <c r="B482" s="1"/>
      <c r="C482" s="1"/>
      <c r="D482" s="1"/>
      <c r="E482" s="1"/>
    </row>
    <row r="483" ht="12.75" customHeight="1">
      <c r="B483" s="1"/>
      <c r="C483" s="1"/>
      <c r="D483" s="1"/>
      <c r="E483" s="1"/>
    </row>
    <row r="484" ht="12.75" customHeight="1">
      <c r="B484" s="1"/>
      <c r="C484" s="1"/>
      <c r="D484" s="1"/>
      <c r="E484" s="1"/>
    </row>
    <row r="485" ht="12.75" customHeight="1">
      <c r="B485" s="1"/>
      <c r="C485" s="1"/>
      <c r="D485" s="1"/>
      <c r="E485" s="1"/>
    </row>
    <row r="486" ht="12.75" customHeight="1">
      <c r="B486" s="1"/>
      <c r="C486" s="1"/>
      <c r="D486" s="1"/>
      <c r="E486" s="1"/>
    </row>
    <row r="487" ht="12.75" customHeight="1">
      <c r="B487" s="1"/>
      <c r="C487" s="1"/>
      <c r="D487" s="1"/>
      <c r="E487" s="1"/>
    </row>
    <row r="488" ht="12.75" customHeight="1">
      <c r="B488" s="1"/>
      <c r="C488" s="1"/>
      <c r="D488" s="1"/>
      <c r="E488" s="1"/>
    </row>
    <row r="489" ht="12.75" customHeight="1">
      <c r="B489" s="1"/>
      <c r="C489" s="1"/>
      <c r="D489" s="1"/>
      <c r="E489" s="1"/>
    </row>
    <row r="490" ht="12.75" customHeight="1">
      <c r="B490" s="1"/>
      <c r="C490" s="1"/>
      <c r="D490" s="1"/>
      <c r="E490" s="1"/>
    </row>
    <row r="491" ht="12.75" customHeight="1">
      <c r="B491" s="1"/>
      <c r="C491" s="1"/>
      <c r="D491" s="1"/>
      <c r="E491" s="1"/>
    </row>
    <row r="492" ht="12.75" customHeight="1">
      <c r="B492" s="1"/>
      <c r="C492" s="1"/>
      <c r="D492" s="1"/>
      <c r="E492" s="1"/>
    </row>
    <row r="493" ht="12.75" customHeight="1">
      <c r="B493" s="1"/>
      <c r="C493" s="1"/>
      <c r="D493" s="1"/>
      <c r="E493" s="1"/>
    </row>
    <row r="494" ht="12.75" customHeight="1">
      <c r="B494" s="1"/>
      <c r="C494" s="1"/>
      <c r="D494" s="1"/>
      <c r="E494" s="1"/>
    </row>
    <row r="495" ht="12.75" customHeight="1">
      <c r="B495" s="1"/>
      <c r="C495" s="1"/>
      <c r="D495" s="1"/>
      <c r="E495" s="1"/>
    </row>
    <row r="496" ht="12.75" customHeight="1">
      <c r="B496" s="1"/>
      <c r="C496" s="1"/>
      <c r="D496" s="1"/>
      <c r="E496" s="1"/>
    </row>
    <row r="497" ht="12.75" customHeight="1">
      <c r="B497" s="1"/>
      <c r="C497" s="1"/>
      <c r="D497" s="1"/>
      <c r="E497" s="1"/>
    </row>
    <row r="498" ht="12.75" customHeight="1">
      <c r="B498" s="1"/>
      <c r="C498" s="1"/>
      <c r="D498" s="1"/>
      <c r="E498" s="1"/>
    </row>
    <row r="499" ht="12.75" customHeight="1">
      <c r="B499" s="1"/>
      <c r="C499" s="1"/>
      <c r="D499" s="1"/>
      <c r="E499" s="1"/>
    </row>
    <row r="500" ht="12.75" customHeight="1">
      <c r="B500" s="1"/>
      <c r="C500" s="1"/>
      <c r="D500" s="1"/>
      <c r="E500" s="1"/>
    </row>
    <row r="501" ht="12.75" customHeight="1">
      <c r="B501" s="1"/>
      <c r="C501" s="1"/>
      <c r="D501" s="1"/>
      <c r="E501" s="1"/>
    </row>
    <row r="502" ht="12.75" customHeight="1">
      <c r="B502" s="1"/>
      <c r="C502" s="1"/>
      <c r="D502" s="1"/>
      <c r="E502" s="1"/>
    </row>
    <row r="503" ht="12.75" customHeight="1">
      <c r="B503" s="1"/>
      <c r="C503" s="1"/>
      <c r="D503" s="1"/>
      <c r="E503" s="1"/>
    </row>
    <row r="504" ht="12.75" customHeight="1">
      <c r="B504" s="1"/>
      <c r="C504" s="1"/>
      <c r="D504" s="1"/>
      <c r="E504" s="1"/>
    </row>
    <row r="505" ht="12.75" customHeight="1">
      <c r="B505" s="1"/>
      <c r="C505" s="1"/>
      <c r="D505" s="1"/>
      <c r="E505" s="1"/>
    </row>
    <row r="506" ht="12.75" customHeight="1">
      <c r="B506" s="1"/>
      <c r="C506" s="1"/>
      <c r="D506" s="1"/>
      <c r="E506" s="1"/>
    </row>
    <row r="507" ht="12.75" customHeight="1">
      <c r="B507" s="1"/>
      <c r="C507" s="1"/>
      <c r="D507" s="1"/>
      <c r="E507" s="1"/>
    </row>
    <row r="508" ht="12.75" customHeight="1">
      <c r="B508" s="1"/>
      <c r="C508" s="1"/>
      <c r="D508" s="1"/>
      <c r="E508" s="1"/>
    </row>
    <row r="509" ht="12.75" customHeight="1">
      <c r="B509" s="1"/>
      <c r="C509" s="1"/>
      <c r="D509" s="1"/>
      <c r="E509" s="1"/>
    </row>
    <row r="510" ht="12.75" customHeight="1">
      <c r="B510" s="1"/>
      <c r="C510" s="1"/>
      <c r="D510" s="1"/>
      <c r="E510" s="1"/>
    </row>
    <row r="511" ht="12.75" customHeight="1">
      <c r="B511" s="1"/>
      <c r="C511" s="1"/>
      <c r="D511" s="1"/>
      <c r="E511" s="1"/>
    </row>
    <row r="512" ht="12.75" customHeight="1">
      <c r="B512" s="1"/>
      <c r="C512" s="1"/>
      <c r="D512" s="1"/>
      <c r="E512" s="1"/>
    </row>
    <row r="513" ht="12.75" customHeight="1">
      <c r="B513" s="1"/>
      <c r="C513" s="1"/>
      <c r="D513" s="1"/>
      <c r="E513" s="1"/>
    </row>
    <row r="514" ht="12.75" customHeight="1">
      <c r="B514" s="1"/>
      <c r="C514" s="1"/>
      <c r="D514" s="1"/>
      <c r="E514" s="1"/>
    </row>
    <row r="515" ht="12.75" customHeight="1">
      <c r="B515" s="1"/>
      <c r="C515" s="1"/>
      <c r="D515" s="1"/>
      <c r="E515" s="1"/>
    </row>
    <row r="516" ht="12.75" customHeight="1">
      <c r="B516" s="1"/>
      <c r="C516" s="1"/>
      <c r="D516" s="1"/>
      <c r="E516" s="1"/>
    </row>
    <row r="517" ht="12.75" customHeight="1">
      <c r="B517" s="1"/>
      <c r="C517" s="1"/>
      <c r="D517" s="1"/>
      <c r="E517" s="1"/>
    </row>
    <row r="518" ht="12.75" customHeight="1">
      <c r="B518" s="1"/>
      <c r="C518" s="1"/>
      <c r="D518" s="1"/>
      <c r="E518" s="1"/>
    </row>
    <row r="519" ht="12.75" customHeight="1">
      <c r="B519" s="1"/>
      <c r="C519" s="1"/>
      <c r="D519" s="1"/>
      <c r="E519" s="1"/>
    </row>
    <row r="520" ht="12.75" customHeight="1">
      <c r="B520" s="1"/>
      <c r="C520" s="1"/>
      <c r="D520" s="1"/>
      <c r="E520" s="1"/>
    </row>
    <row r="521" ht="12.75" customHeight="1">
      <c r="B521" s="1"/>
      <c r="C521" s="1"/>
      <c r="D521" s="1"/>
      <c r="E521" s="1"/>
    </row>
    <row r="522" ht="12.75" customHeight="1">
      <c r="B522" s="1"/>
      <c r="C522" s="1"/>
      <c r="D522" s="1"/>
      <c r="E522" s="1"/>
    </row>
    <row r="523" ht="12.75" customHeight="1">
      <c r="B523" s="1"/>
      <c r="C523" s="1"/>
      <c r="D523" s="1"/>
      <c r="E523" s="1"/>
    </row>
    <row r="524" ht="12.75" customHeight="1">
      <c r="B524" s="1"/>
      <c r="C524" s="1"/>
      <c r="D524" s="1"/>
      <c r="E524" s="1"/>
    </row>
    <row r="525" ht="12.75" customHeight="1">
      <c r="B525" s="1"/>
      <c r="C525" s="1"/>
      <c r="D525" s="1"/>
      <c r="E525" s="1"/>
    </row>
    <row r="526" ht="12.75" customHeight="1">
      <c r="B526" s="1"/>
      <c r="C526" s="1"/>
      <c r="D526" s="1"/>
      <c r="E526" s="1"/>
    </row>
    <row r="527" ht="12.75" customHeight="1">
      <c r="B527" s="1"/>
      <c r="C527" s="1"/>
      <c r="D527" s="1"/>
      <c r="E527" s="1"/>
    </row>
    <row r="528" ht="12.75" customHeight="1">
      <c r="B528" s="1"/>
      <c r="C528" s="1"/>
      <c r="D528" s="1"/>
      <c r="E528" s="1"/>
    </row>
    <row r="529" ht="12.75" customHeight="1">
      <c r="B529" s="1"/>
      <c r="C529" s="1"/>
      <c r="D529" s="1"/>
      <c r="E529" s="1"/>
    </row>
    <row r="530" ht="12.75" customHeight="1">
      <c r="B530" s="1"/>
      <c r="C530" s="1"/>
      <c r="D530" s="1"/>
      <c r="E530" s="1"/>
    </row>
    <row r="531" ht="12.75" customHeight="1">
      <c r="B531" s="1"/>
      <c r="C531" s="1"/>
      <c r="D531" s="1"/>
      <c r="E531" s="1"/>
    </row>
    <row r="532" ht="12.75" customHeight="1">
      <c r="B532" s="1"/>
      <c r="C532" s="1"/>
      <c r="D532" s="1"/>
      <c r="E532" s="1"/>
    </row>
    <row r="533" ht="12.75" customHeight="1">
      <c r="B533" s="1"/>
      <c r="C533" s="1"/>
      <c r="D533" s="1"/>
      <c r="E533" s="1"/>
    </row>
    <row r="534" ht="12.75" customHeight="1">
      <c r="B534" s="1"/>
      <c r="C534" s="1"/>
      <c r="D534" s="1"/>
      <c r="E534" s="1"/>
    </row>
    <row r="535" ht="12.75" customHeight="1">
      <c r="B535" s="1"/>
      <c r="C535" s="1"/>
      <c r="D535" s="1"/>
      <c r="E535" s="1"/>
    </row>
    <row r="536" ht="12.75" customHeight="1">
      <c r="B536" s="1"/>
      <c r="C536" s="1"/>
      <c r="D536" s="1"/>
      <c r="E536" s="1"/>
    </row>
    <row r="537" ht="12.75" customHeight="1">
      <c r="B537" s="1"/>
      <c r="C537" s="1"/>
      <c r="D537" s="1"/>
      <c r="E537" s="1"/>
    </row>
    <row r="538" ht="12.75" customHeight="1">
      <c r="B538" s="1"/>
      <c r="C538" s="1"/>
      <c r="D538" s="1"/>
      <c r="E538" s="1"/>
    </row>
    <row r="539" ht="12.75" customHeight="1">
      <c r="B539" s="1"/>
      <c r="C539" s="1"/>
      <c r="D539" s="1"/>
      <c r="E539" s="1"/>
    </row>
    <row r="540" ht="12.75" customHeight="1">
      <c r="B540" s="1"/>
      <c r="C540" s="1"/>
      <c r="D540" s="1"/>
      <c r="E540" s="1"/>
    </row>
    <row r="541" ht="12.75" customHeight="1">
      <c r="B541" s="1"/>
      <c r="C541" s="1"/>
      <c r="D541" s="1"/>
      <c r="E541" s="1"/>
    </row>
    <row r="542" ht="12.75" customHeight="1">
      <c r="B542" s="1"/>
      <c r="C542" s="1"/>
      <c r="D542" s="1"/>
      <c r="E542" s="1"/>
    </row>
    <row r="543" ht="12.75" customHeight="1">
      <c r="B543" s="1"/>
      <c r="C543" s="1"/>
      <c r="D543" s="1"/>
      <c r="E543" s="1"/>
    </row>
    <row r="544" ht="12.75" customHeight="1">
      <c r="B544" s="1"/>
      <c r="C544" s="1"/>
      <c r="D544" s="1"/>
      <c r="E544" s="1"/>
    </row>
    <row r="545" ht="12.75" customHeight="1">
      <c r="B545" s="1"/>
      <c r="C545" s="1"/>
      <c r="D545" s="1"/>
      <c r="E545" s="1"/>
    </row>
    <row r="546" ht="12.75" customHeight="1">
      <c r="B546" s="1"/>
      <c r="C546" s="1"/>
      <c r="D546" s="1"/>
      <c r="E546" s="1"/>
    </row>
    <row r="547" ht="12.75" customHeight="1">
      <c r="B547" s="1"/>
      <c r="C547" s="1"/>
      <c r="D547" s="1"/>
      <c r="E547" s="1"/>
    </row>
    <row r="548" ht="12.75" customHeight="1">
      <c r="B548" s="1"/>
      <c r="C548" s="1"/>
      <c r="D548" s="1"/>
      <c r="E548" s="1"/>
    </row>
    <row r="549" ht="12.75" customHeight="1">
      <c r="B549" s="1"/>
      <c r="C549" s="1"/>
      <c r="D549" s="1"/>
      <c r="E549" s="1"/>
    </row>
    <row r="550" ht="12.75" customHeight="1">
      <c r="B550" s="1"/>
      <c r="C550" s="1"/>
      <c r="D550" s="1"/>
      <c r="E550" s="1"/>
    </row>
    <row r="551" ht="12.75" customHeight="1">
      <c r="B551" s="1"/>
      <c r="C551" s="1"/>
      <c r="D551" s="1"/>
      <c r="E551" s="1"/>
    </row>
    <row r="552" ht="12.75" customHeight="1">
      <c r="B552" s="1"/>
      <c r="C552" s="1"/>
      <c r="D552" s="1"/>
      <c r="E552" s="1"/>
    </row>
    <row r="553" ht="12.75" customHeight="1">
      <c r="B553" s="1"/>
      <c r="C553" s="1"/>
      <c r="D553" s="1"/>
      <c r="E553" s="1"/>
    </row>
    <row r="554" ht="12.75" customHeight="1">
      <c r="B554" s="1"/>
      <c r="C554" s="1"/>
      <c r="D554" s="1"/>
      <c r="E554" s="1"/>
    </row>
    <row r="555" ht="12.75" customHeight="1">
      <c r="B555" s="1"/>
      <c r="C555" s="1"/>
      <c r="D555" s="1"/>
      <c r="E555" s="1"/>
    </row>
    <row r="556" ht="12.75" customHeight="1">
      <c r="B556" s="1"/>
      <c r="C556" s="1"/>
      <c r="D556" s="1"/>
      <c r="E556" s="1"/>
    </row>
    <row r="557" ht="12.75" customHeight="1">
      <c r="B557" s="1"/>
      <c r="C557" s="1"/>
      <c r="D557" s="1"/>
      <c r="E557" s="1"/>
    </row>
    <row r="558" ht="12.75" customHeight="1">
      <c r="B558" s="1"/>
      <c r="C558" s="1"/>
      <c r="D558" s="1"/>
      <c r="E558" s="1"/>
    </row>
    <row r="559" ht="12.75" customHeight="1">
      <c r="B559" s="1"/>
      <c r="C559" s="1"/>
      <c r="D559" s="1"/>
      <c r="E559" s="1"/>
    </row>
    <row r="560" ht="12.75" customHeight="1">
      <c r="B560" s="1"/>
      <c r="C560" s="1"/>
      <c r="D560" s="1"/>
      <c r="E560" s="1"/>
    </row>
    <row r="561" ht="12.75" customHeight="1">
      <c r="B561" s="1"/>
      <c r="C561" s="1"/>
      <c r="D561" s="1"/>
      <c r="E561" s="1"/>
    </row>
    <row r="562" ht="12.75" customHeight="1">
      <c r="B562" s="1"/>
      <c r="C562" s="1"/>
      <c r="D562" s="1"/>
      <c r="E562" s="1"/>
    </row>
    <row r="563" ht="12.75" customHeight="1">
      <c r="B563" s="1"/>
      <c r="C563" s="1"/>
      <c r="D563" s="1"/>
      <c r="E563" s="1"/>
    </row>
    <row r="564" ht="12.75" customHeight="1">
      <c r="B564" s="1"/>
      <c r="C564" s="1"/>
      <c r="D564" s="1"/>
      <c r="E564" s="1"/>
    </row>
    <row r="565" ht="12.75" customHeight="1">
      <c r="B565" s="1"/>
      <c r="C565" s="1"/>
      <c r="D565" s="1"/>
      <c r="E565" s="1"/>
    </row>
    <row r="566" ht="12.75" customHeight="1">
      <c r="B566" s="1"/>
      <c r="C566" s="1"/>
      <c r="D566" s="1"/>
      <c r="E566" s="1"/>
    </row>
    <row r="567" ht="12.75" customHeight="1">
      <c r="B567" s="1"/>
      <c r="C567" s="1"/>
      <c r="D567" s="1"/>
      <c r="E567" s="1"/>
    </row>
    <row r="568" ht="12.75" customHeight="1">
      <c r="B568" s="1"/>
      <c r="C568" s="1"/>
      <c r="D568" s="1"/>
      <c r="E568" s="1"/>
    </row>
    <row r="569" ht="12.75" customHeight="1">
      <c r="B569" s="1"/>
      <c r="C569" s="1"/>
      <c r="D569" s="1"/>
      <c r="E569" s="1"/>
    </row>
    <row r="570" ht="12.75" customHeight="1">
      <c r="B570" s="1"/>
      <c r="C570" s="1"/>
      <c r="D570" s="1"/>
      <c r="E570" s="1"/>
    </row>
    <row r="571" ht="12.75" customHeight="1">
      <c r="B571" s="1"/>
      <c r="C571" s="1"/>
      <c r="D571" s="1"/>
      <c r="E571" s="1"/>
    </row>
    <row r="572" ht="12.75" customHeight="1">
      <c r="B572" s="1"/>
      <c r="C572" s="1"/>
      <c r="D572" s="1"/>
      <c r="E572" s="1"/>
    </row>
    <row r="573" ht="12.75" customHeight="1">
      <c r="B573" s="1"/>
      <c r="C573" s="1"/>
      <c r="D573" s="1"/>
      <c r="E573" s="1"/>
    </row>
    <row r="574" ht="12.75" customHeight="1">
      <c r="B574" s="1"/>
      <c r="C574" s="1"/>
      <c r="D574" s="1"/>
      <c r="E574" s="1"/>
    </row>
    <row r="575" ht="12.75" customHeight="1">
      <c r="B575" s="1"/>
      <c r="C575" s="1"/>
      <c r="D575" s="1"/>
      <c r="E575" s="1"/>
    </row>
    <row r="576" ht="12.75" customHeight="1">
      <c r="B576" s="1"/>
      <c r="C576" s="1"/>
      <c r="D576" s="1"/>
      <c r="E576" s="1"/>
    </row>
    <row r="577" ht="12.75" customHeight="1">
      <c r="B577" s="1"/>
      <c r="C577" s="1"/>
      <c r="D577" s="1"/>
      <c r="E577" s="1"/>
    </row>
    <row r="578" ht="12.75" customHeight="1">
      <c r="B578" s="1"/>
      <c r="C578" s="1"/>
      <c r="D578" s="1"/>
      <c r="E578" s="1"/>
    </row>
    <row r="579" ht="12.75" customHeight="1">
      <c r="B579" s="1"/>
      <c r="C579" s="1"/>
      <c r="D579" s="1"/>
      <c r="E579" s="1"/>
    </row>
    <row r="580" ht="12.75" customHeight="1">
      <c r="B580" s="1"/>
      <c r="C580" s="1"/>
      <c r="D580" s="1"/>
      <c r="E580" s="1"/>
    </row>
    <row r="581" ht="12.75" customHeight="1">
      <c r="B581" s="1"/>
      <c r="C581" s="1"/>
      <c r="D581" s="1"/>
      <c r="E581" s="1"/>
    </row>
    <row r="582" ht="12.75" customHeight="1">
      <c r="B582" s="1"/>
      <c r="C582" s="1"/>
      <c r="D582" s="1"/>
      <c r="E582" s="1"/>
    </row>
    <row r="583" ht="12.75" customHeight="1">
      <c r="B583" s="1"/>
      <c r="C583" s="1"/>
      <c r="D583" s="1"/>
      <c r="E583" s="1"/>
    </row>
    <row r="584" ht="12.75" customHeight="1">
      <c r="B584" s="1"/>
      <c r="C584" s="1"/>
      <c r="D584" s="1"/>
      <c r="E584" s="1"/>
    </row>
    <row r="585" ht="12.75" customHeight="1">
      <c r="B585" s="1"/>
      <c r="C585" s="1"/>
      <c r="D585" s="1"/>
      <c r="E585" s="1"/>
    </row>
    <row r="586" ht="12.75" customHeight="1">
      <c r="B586" s="1"/>
      <c r="C586" s="1"/>
      <c r="D586" s="1"/>
      <c r="E586" s="1"/>
    </row>
    <row r="587" ht="12.75" customHeight="1">
      <c r="B587" s="1"/>
      <c r="C587" s="1"/>
      <c r="D587" s="1"/>
      <c r="E587" s="1"/>
    </row>
    <row r="588" ht="12.75" customHeight="1">
      <c r="B588" s="1"/>
      <c r="C588" s="1"/>
      <c r="D588" s="1"/>
      <c r="E588" s="1"/>
    </row>
    <row r="589" ht="12.75" customHeight="1">
      <c r="B589" s="1"/>
      <c r="C589" s="1"/>
      <c r="D589" s="1"/>
      <c r="E589" s="1"/>
    </row>
    <row r="590" ht="12.75" customHeight="1">
      <c r="B590" s="1"/>
      <c r="C590" s="1"/>
      <c r="D590" s="1"/>
      <c r="E590" s="1"/>
    </row>
    <row r="591" ht="12.75" customHeight="1">
      <c r="B591" s="1"/>
      <c r="C591" s="1"/>
      <c r="D591" s="1"/>
      <c r="E591" s="1"/>
    </row>
    <row r="592" ht="12.75" customHeight="1">
      <c r="B592" s="1"/>
      <c r="C592" s="1"/>
      <c r="D592" s="1"/>
      <c r="E592" s="1"/>
    </row>
    <row r="593" ht="12.75" customHeight="1">
      <c r="B593" s="1"/>
      <c r="C593" s="1"/>
      <c r="D593" s="1"/>
      <c r="E593" s="1"/>
    </row>
    <row r="594" ht="12.75" customHeight="1">
      <c r="B594" s="1"/>
      <c r="C594" s="1"/>
      <c r="D594" s="1"/>
      <c r="E594" s="1"/>
    </row>
    <row r="595" ht="12.75" customHeight="1">
      <c r="B595" s="1"/>
      <c r="C595" s="1"/>
      <c r="D595" s="1"/>
      <c r="E595" s="1"/>
    </row>
    <row r="596" ht="12.75" customHeight="1">
      <c r="B596" s="1"/>
      <c r="C596" s="1"/>
      <c r="D596" s="1"/>
      <c r="E596" s="1"/>
    </row>
    <row r="597" ht="12.75" customHeight="1">
      <c r="B597" s="1"/>
      <c r="C597" s="1"/>
      <c r="D597" s="1"/>
      <c r="E597" s="1"/>
    </row>
    <row r="598" ht="12.75" customHeight="1">
      <c r="B598" s="1"/>
      <c r="C598" s="1"/>
      <c r="D598" s="1"/>
      <c r="E598" s="1"/>
    </row>
    <row r="599" ht="12.75" customHeight="1">
      <c r="B599" s="1"/>
      <c r="C599" s="1"/>
      <c r="D599" s="1"/>
      <c r="E599" s="1"/>
    </row>
    <row r="600" ht="12.75" customHeight="1">
      <c r="B600" s="1"/>
      <c r="C600" s="1"/>
      <c r="D600" s="1"/>
      <c r="E600" s="1"/>
    </row>
    <row r="601" ht="12.75" customHeight="1">
      <c r="B601" s="1"/>
      <c r="C601" s="1"/>
      <c r="D601" s="1"/>
      <c r="E601" s="1"/>
    </row>
    <row r="602" ht="12.75" customHeight="1">
      <c r="B602" s="1"/>
      <c r="C602" s="1"/>
      <c r="D602" s="1"/>
      <c r="E602" s="1"/>
    </row>
    <row r="603" ht="12.75" customHeight="1">
      <c r="B603" s="1"/>
      <c r="C603" s="1"/>
      <c r="D603" s="1"/>
      <c r="E603" s="1"/>
    </row>
    <row r="604" ht="12.75" customHeight="1">
      <c r="B604" s="1"/>
      <c r="C604" s="1"/>
      <c r="D604" s="1"/>
      <c r="E604" s="1"/>
    </row>
    <row r="605" ht="12.75" customHeight="1">
      <c r="B605" s="1"/>
      <c r="C605" s="1"/>
      <c r="D605" s="1"/>
      <c r="E605" s="1"/>
    </row>
    <row r="606" ht="12.75" customHeight="1">
      <c r="B606" s="1"/>
      <c r="C606" s="1"/>
      <c r="D606" s="1"/>
      <c r="E606" s="1"/>
    </row>
    <row r="607" ht="12.75" customHeight="1">
      <c r="B607" s="1"/>
      <c r="C607" s="1"/>
      <c r="D607" s="1"/>
      <c r="E607" s="1"/>
    </row>
    <row r="608" ht="12.75" customHeight="1">
      <c r="B608" s="1"/>
      <c r="C608" s="1"/>
      <c r="D608" s="1"/>
      <c r="E608" s="1"/>
    </row>
    <row r="609" ht="12.75" customHeight="1">
      <c r="B609" s="1"/>
      <c r="C609" s="1"/>
      <c r="D609" s="1"/>
      <c r="E609" s="1"/>
    </row>
    <row r="610" ht="12.75" customHeight="1">
      <c r="B610" s="1"/>
      <c r="C610" s="1"/>
      <c r="D610" s="1"/>
      <c r="E610" s="1"/>
    </row>
    <row r="611" ht="12.75" customHeight="1">
      <c r="B611" s="1"/>
      <c r="C611" s="1"/>
      <c r="D611" s="1"/>
      <c r="E611" s="1"/>
    </row>
    <row r="612" ht="12.75" customHeight="1">
      <c r="B612" s="1"/>
      <c r="C612" s="1"/>
      <c r="D612" s="1"/>
      <c r="E612" s="1"/>
    </row>
    <row r="613" ht="12.75" customHeight="1">
      <c r="B613" s="1"/>
      <c r="C613" s="1"/>
      <c r="D613" s="1"/>
      <c r="E613" s="1"/>
    </row>
    <row r="614" ht="12.75" customHeight="1">
      <c r="B614" s="1"/>
      <c r="C614" s="1"/>
      <c r="D614" s="1"/>
      <c r="E614" s="1"/>
    </row>
    <row r="615" ht="12.75" customHeight="1">
      <c r="B615" s="1"/>
      <c r="C615" s="1"/>
      <c r="D615" s="1"/>
      <c r="E615" s="1"/>
    </row>
    <row r="616" ht="12.75" customHeight="1">
      <c r="B616" s="1"/>
      <c r="C616" s="1"/>
      <c r="D616" s="1"/>
      <c r="E616" s="1"/>
    </row>
    <row r="617" ht="12.75" customHeight="1">
      <c r="B617" s="1"/>
      <c r="C617" s="1"/>
      <c r="D617" s="1"/>
      <c r="E617" s="1"/>
    </row>
    <row r="618" ht="12.75" customHeight="1">
      <c r="B618" s="1"/>
      <c r="C618" s="1"/>
      <c r="D618" s="1"/>
      <c r="E618" s="1"/>
    </row>
    <row r="619" ht="12.75" customHeight="1">
      <c r="B619" s="1"/>
      <c r="C619" s="1"/>
      <c r="D619" s="1"/>
      <c r="E619" s="1"/>
    </row>
    <row r="620" ht="12.75" customHeight="1">
      <c r="B620" s="1"/>
      <c r="C620" s="1"/>
      <c r="D620" s="1"/>
      <c r="E620" s="1"/>
    </row>
    <row r="621" ht="12.75" customHeight="1">
      <c r="B621" s="1"/>
      <c r="C621" s="1"/>
      <c r="D621" s="1"/>
      <c r="E621" s="1"/>
    </row>
    <row r="622" ht="12.75" customHeight="1">
      <c r="B622" s="1"/>
      <c r="C622" s="1"/>
      <c r="D622" s="1"/>
      <c r="E622" s="1"/>
    </row>
    <row r="623" ht="12.75" customHeight="1">
      <c r="B623" s="1"/>
      <c r="C623" s="1"/>
      <c r="D623" s="1"/>
      <c r="E623" s="1"/>
    </row>
    <row r="624" ht="12.75" customHeight="1">
      <c r="B624" s="1"/>
      <c r="C624" s="1"/>
      <c r="D624" s="1"/>
      <c r="E624" s="1"/>
    </row>
    <row r="625" ht="12.75" customHeight="1">
      <c r="B625" s="1"/>
      <c r="C625" s="1"/>
      <c r="D625" s="1"/>
      <c r="E625" s="1"/>
    </row>
    <row r="626" ht="12.75" customHeight="1">
      <c r="B626" s="1"/>
      <c r="C626" s="1"/>
      <c r="D626" s="1"/>
      <c r="E626" s="1"/>
    </row>
    <row r="627" ht="12.75" customHeight="1">
      <c r="B627" s="1"/>
      <c r="C627" s="1"/>
      <c r="D627" s="1"/>
      <c r="E627" s="1"/>
    </row>
    <row r="628" ht="12.75" customHeight="1">
      <c r="B628" s="1"/>
      <c r="C628" s="1"/>
      <c r="D628" s="1"/>
      <c r="E628" s="1"/>
    </row>
    <row r="629" ht="12.75" customHeight="1">
      <c r="B629" s="1"/>
      <c r="C629" s="1"/>
      <c r="D629" s="1"/>
      <c r="E629" s="1"/>
    </row>
    <row r="630" ht="12.75" customHeight="1">
      <c r="B630" s="1"/>
      <c r="C630" s="1"/>
      <c r="D630" s="1"/>
      <c r="E630" s="1"/>
    </row>
    <row r="631" ht="12.75" customHeight="1">
      <c r="B631" s="1"/>
      <c r="C631" s="1"/>
      <c r="D631" s="1"/>
      <c r="E631" s="1"/>
    </row>
    <row r="632" ht="12.75" customHeight="1">
      <c r="B632" s="1"/>
      <c r="C632" s="1"/>
      <c r="D632" s="1"/>
      <c r="E632" s="1"/>
    </row>
    <row r="633" ht="12.75" customHeight="1">
      <c r="B633" s="1"/>
      <c r="C633" s="1"/>
      <c r="D633" s="1"/>
      <c r="E633" s="1"/>
    </row>
    <row r="634" ht="12.75" customHeight="1">
      <c r="B634" s="1"/>
      <c r="C634" s="1"/>
      <c r="D634" s="1"/>
      <c r="E634" s="1"/>
    </row>
    <row r="635" ht="12.75" customHeight="1">
      <c r="B635" s="1"/>
      <c r="C635" s="1"/>
      <c r="D635" s="1"/>
      <c r="E635" s="1"/>
    </row>
    <row r="636" ht="12.75" customHeight="1">
      <c r="B636" s="1"/>
      <c r="C636" s="1"/>
      <c r="D636" s="1"/>
      <c r="E636" s="1"/>
    </row>
    <row r="637" ht="12.75" customHeight="1">
      <c r="B637" s="1"/>
      <c r="C637" s="1"/>
      <c r="D637" s="1"/>
      <c r="E637" s="1"/>
    </row>
    <row r="638" ht="12.75" customHeight="1">
      <c r="B638" s="1"/>
      <c r="C638" s="1"/>
      <c r="D638" s="1"/>
      <c r="E638" s="1"/>
    </row>
    <row r="639" ht="12.75" customHeight="1">
      <c r="B639" s="1"/>
      <c r="C639" s="1"/>
      <c r="D639" s="1"/>
      <c r="E639" s="1"/>
    </row>
    <row r="640" ht="12.75" customHeight="1">
      <c r="B640" s="1"/>
      <c r="C640" s="1"/>
      <c r="D640" s="1"/>
      <c r="E640" s="1"/>
    </row>
    <row r="641" ht="12.75" customHeight="1">
      <c r="B641" s="1"/>
      <c r="C641" s="1"/>
      <c r="D641" s="1"/>
      <c r="E641" s="1"/>
    </row>
    <row r="642" ht="12.75" customHeight="1">
      <c r="B642" s="1"/>
      <c r="C642" s="1"/>
      <c r="D642" s="1"/>
      <c r="E642" s="1"/>
    </row>
    <row r="643" ht="12.75" customHeight="1">
      <c r="B643" s="1"/>
      <c r="C643" s="1"/>
      <c r="D643" s="1"/>
      <c r="E643" s="1"/>
    </row>
    <row r="644" ht="12.75" customHeight="1">
      <c r="B644" s="1"/>
      <c r="C644" s="1"/>
      <c r="D644" s="1"/>
      <c r="E644" s="1"/>
    </row>
    <row r="645" ht="12.75" customHeight="1">
      <c r="B645" s="1"/>
      <c r="C645" s="1"/>
      <c r="D645" s="1"/>
      <c r="E645" s="1"/>
    </row>
    <row r="646" ht="12.75" customHeight="1">
      <c r="B646" s="1"/>
      <c r="C646" s="1"/>
      <c r="D646" s="1"/>
      <c r="E646" s="1"/>
    </row>
    <row r="647" ht="12.75" customHeight="1">
      <c r="B647" s="1"/>
      <c r="C647" s="1"/>
      <c r="D647" s="1"/>
      <c r="E647" s="1"/>
    </row>
    <row r="648" ht="12.75" customHeight="1">
      <c r="B648" s="1"/>
      <c r="C648" s="1"/>
      <c r="D648" s="1"/>
      <c r="E648" s="1"/>
    </row>
    <row r="649" ht="12.75" customHeight="1">
      <c r="B649" s="1"/>
      <c r="C649" s="1"/>
      <c r="D649" s="1"/>
      <c r="E649" s="1"/>
    </row>
    <row r="650" ht="12.75" customHeight="1">
      <c r="B650" s="1"/>
      <c r="C650" s="1"/>
      <c r="D650" s="1"/>
      <c r="E650" s="1"/>
    </row>
    <row r="651" ht="12.75" customHeight="1">
      <c r="B651" s="1"/>
      <c r="C651" s="1"/>
      <c r="D651" s="1"/>
      <c r="E651" s="1"/>
    </row>
    <row r="652" ht="12.75" customHeight="1">
      <c r="B652" s="1"/>
      <c r="C652" s="1"/>
      <c r="D652" s="1"/>
      <c r="E652" s="1"/>
    </row>
    <row r="653" ht="12.75" customHeight="1">
      <c r="B653" s="1"/>
      <c r="C653" s="1"/>
      <c r="D653" s="1"/>
      <c r="E653" s="1"/>
    </row>
    <row r="654" ht="12.75" customHeight="1">
      <c r="B654" s="1"/>
      <c r="C654" s="1"/>
      <c r="D654" s="1"/>
      <c r="E654" s="1"/>
    </row>
    <row r="655" ht="12.75" customHeight="1">
      <c r="B655" s="1"/>
      <c r="C655" s="1"/>
      <c r="D655" s="1"/>
      <c r="E655" s="1"/>
    </row>
    <row r="656" ht="12.75" customHeight="1">
      <c r="B656" s="1"/>
      <c r="C656" s="1"/>
      <c r="D656" s="1"/>
      <c r="E656" s="1"/>
    </row>
    <row r="657" ht="12.75" customHeight="1">
      <c r="B657" s="1"/>
      <c r="C657" s="1"/>
      <c r="D657" s="1"/>
      <c r="E657" s="1"/>
    </row>
    <row r="658" ht="12.75" customHeight="1">
      <c r="B658" s="1"/>
      <c r="C658" s="1"/>
      <c r="D658" s="1"/>
      <c r="E658" s="1"/>
    </row>
    <row r="659" ht="12.75" customHeight="1">
      <c r="B659" s="1"/>
      <c r="C659" s="1"/>
      <c r="D659" s="1"/>
      <c r="E659" s="1"/>
    </row>
    <row r="660" ht="12.75" customHeight="1">
      <c r="B660" s="1"/>
      <c r="C660" s="1"/>
      <c r="D660" s="1"/>
      <c r="E660" s="1"/>
    </row>
    <row r="661" ht="12.75" customHeight="1">
      <c r="B661" s="1"/>
      <c r="C661" s="1"/>
      <c r="D661" s="1"/>
      <c r="E661" s="1"/>
    </row>
    <row r="662" ht="12.75" customHeight="1">
      <c r="B662" s="1"/>
      <c r="C662" s="1"/>
      <c r="D662" s="1"/>
      <c r="E662" s="1"/>
    </row>
    <row r="663" ht="12.75" customHeight="1">
      <c r="B663" s="1"/>
      <c r="C663" s="1"/>
      <c r="D663" s="1"/>
      <c r="E663" s="1"/>
    </row>
    <row r="664" ht="12.75" customHeight="1">
      <c r="B664" s="1"/>
      <c r="C664" s="1"/>
      <c r="D664" s="1"/>
      <c r="E664" s="1"/>
    </row>
    <row r="665" ht="12.75" customHeight="1">
      <c r="B665" s="1"/>
      <c r="C665" s="1"/>
      <c r="D665" s="1"/>
      <c r="E665" s="1"/>
    </row>
    <row r="666" ht="12.75" customHeight="1">
      <c r="B666" s="1"/>
      <c r="C666" s="1"/>
      <c r="D666" s="1"/>
      <c r="E666" s="1"/>
    </row>
    <row r="667" ht="12.75" customHeight="1">
      <c r="B667" s="1"/>
      <c r="C667" s="1"/>
      <c r="D667" s="1"/>
      <c r="E667" s="1"/>
    </row>
    <row r="668" ht="12.75" customHeight="1">
      <c r="B668" s="1"/>
      <c r="C668" s="1"/>
      <c r="D668" s="1"/>
      <c r="E668" s="1"/>
    </row>
    <row r="669" ht="12.75" customHeight="1">
      <c r="B669" s="1"/>
      <c r="C669" s="1"/>
      <c r="D669" s="1"/>
      <c r="E669" s="1"/>
    </row>
    <row r="670" ht="12.75" customHeight="1">
      <c r="B670" s="1"/>
      <c r="C670" s="1"/>
      <c r="D670" s="1"/>
      <c r="E670" s="1"/>
    </row>
    <row r="671" ht="12.75" customHeight="1">
      <c r="B671" s="1"/>
      <c r="C671" s="1"/>
      <c r="D671" s="1"/>
      <c r="E671" s="1"/>
    </row>
    <row r="672" ht="12.75" customHeight="1">
      <c r="B672" s="1"/>
      <c r="C672" s="1"/>
      <c r="D672" s="1"/>
      <c r="E672" s="1"/>
    </row>
    <row r="673" ht="12.75" customHeight="1">
      <c r="B673" s="1"/>
      <c r="C673" s="1"/>
      <c r="D673" s="1"/>
      <c r="E673" s="1"/>
    </row>
    <row r="674" ht="12.75" customHeight="1">
      <c r="B674" s="1"/>
      <c r="C674" s="1"/>
      <c r="D674" s="1"/>
      <c r="E674" s="1"/>
    </row>
    <row r="675" ht="12.75" customHeight="1">
      <c r="B675" s="1"/>
      <c r="C675" s="1"/>
      <c r="D675" s="1"/>
      <c r="E675" s="1"/>
    </row>
    <row r="676" ht="12.75" customHeight="1">
      <c r="B676" s="1"/>
      <c r="C676" s="1"/>
      <c r="D676" s="1"/>
      <c r="E676" s="1"/>
    </row>
    <row r="677" ht="12.75" customHeight="1">
      <c r="B677" s="1"/>
      <c r="C677" s="1"/>
      <c r="D677" s="1"/>
      <c r="E677" s="1"/>
    </row>
    <row r="678" ht="12.75" customHeight="1">
      <c r="B678" s="1"/>
      <c r="C678" s="1"/>
      <c r="D678" s="1"/>
      <c r="E678" s="1"/>
    </row>
    <row r="679" ht="12.75" customHeight="1">
      <c r="B679" s="1"/>
      <c r="C679" s="1"/>
      <c r="D679" s="1"/>
      <c r="E679" s="1"/>
    </row>
    <row r="680" ht="12.75" customHeight="1">
      <c r="B680" s="1"/>
      <c r="C680" s="1"/>
      <c r="D680" s="1"/>
      <c r="E680" s="1"/>
    </row>
    <row r="681" ht="12.75" customHeight="1">
      <c r="B681" s="1"/>
      <c r="C681" s="1"/>
      <c r="D681" s="1"/>
      <c r="E681" s="1"/>
    </row>
    <row r="682" ht="12.75" customHeight="1">
      <c r="B682" s="1"/>
      <c r="C682" s="1"/>
      <c r="D682" s="1"/>
      <c r="E682" s="1"/>
    </row>
    <row r="683" ht="12.75" customHeight="1">
      <c r="B683" s="1"/>
      <c r="C683" s="1"/>
      <c r="D683" s="1"/>
      <c r="E683" s="1"/>
    </row>
    <row r="684" ht="12.75" customHeight="1">
      <c r="B684" s="1"/>
      <c r="C684" s="1"/>
      <c r="D684" s="1"/>
      <c r="E684" s="1"/>
    </row>
    <row r="685" ht="12.75" customHeight="1">
      <c r="B685" s="1"/>
      <c r="C685" s="1"/>
      <c r="D685" s="1"/>
      <c r="E685" s="1"/>
    </row>
    <row r="686" ht="12.75" customHeight="1">
      <c r="B686" s="1"/>
      <c r="C686" s="1"/>
      <c r="D686" s="1"/>
      <c r="E686" s="1"/>
    </row>
    <row r="687" ht="12.75" customHeight="1">
      <c r="B687" s="1"/>
      <c r="C687" s="1"/>
      <c r="D687" s="1"/>
      <c r="E687" s="1"/>
    </row>
    <row r="688" ht="12.75" customHeight="1">
      <c r="B688" s="1"/>
      <c r="C688" s="1"/>
      <c r="D688" s="1"/>
      <c r="E688" s="1"/>
    </row>
    <row r="689" ht="12.75" customHeight="1">
      <c r="B689" s="1"/>
      <c r="C689" s="1"/>
      <c r="D689" s="1"/>
      <c r="E689" s="1"/>
    </row>
    <row r="690" ht="12.75" customHeight="1">
      <c r="B690" s="1"/>
      <c r="C690" s="1"/>
      <c r="D690" s="1"/>
      <c r="E690" s="1"/>
    </row>
    <row r="691" ht="12.75" customHeight="1">
      <c r="B691" s="1"/>
      <c r="C691" s="1"/>
      <c r="D691" s="1"/>
      <c r="E691" s="1"/>
    </row>
    <row r="692" ht="12.75" customHeight="1">
      <c r="B692" s="1"/>
      <c r="C692" s="1"/>
      <c r="D692" s="1"/>
      <c r="E692" s="1"/>
    </row>
    <row r="693" ht="12.75" customHeight="1">
      <c r="B693" s="1"/>
      <c r="C693" s="1"/>
      <c r="D693" s="1"/>
      <c r="E693" s="1"/>
    </row>
    <row r="694" ht="12.75" customHeight="1">
      <c r="B694" s="1"/>
      <c r="C694" s="1"/>
      <c r="D694" s="1"/>
      <c r="E694" s="1"/>
    </row>
    <row r="695" ht="12.75" customHeight="1">
      <c r="B695" s="1"/>
      <c r="C695" s="1"/>
      <c r="D695" s="1"/>
      <c r="E695" s="1"/>
    </row>
    <row r="696" ht="12.75" customHeight="1">
      <c r="B696" s="1"/>
      <c r="C696" s="1"/>
      <c r="D696" s="1"/>
      <c r="E696" s="1"/>
    </row>
    <row r="697" ht="12.75" customHeight="1">
      <c r="B697" s="1"/>
      <c r="C697" s="1"/>
      <c r="D697" s="1"/>
      <c r="E697" s="1"/>
    </row>
    <row r="698" ht="12.75" customHeight="1">
      <c r="B698" s="1"/>
      <c r="C698" s="1"/>
      <c r="D698" s="1"/>
      <c r="E698" s="1"/>
    </row>
    <row r="699" ht="12.75" customHeight="1">
      <c r="B699" s="1"/>
      <c r="C699" s="1"/>
      <c r="D699" s="1"/>
      <c r="E699" s="1"/>
    </row>
    <row r="700" ht="12.75" customHeight="1">
      <c r="B700" s="1"/>
      <c r="C700" s="1"/>
      <c r="D700" s="1"/>
      <c r="E700" s="1"/>
    </row>
    <row r="701" ht="12.75" customHeight="1">
      <c r="B701" s="1"/>
      <c r="C701" s="1"/>
      <c r="D701" s="1"/>
      <c r="E701" s="1"/>
    </row>
    <row r="702" ht="12.75" customHeight="1">
      <c r="B702" s="1"/>
      <c r="C702" s="1"/>
      <c r="D702" s="1"/>
      <c r="E702" s="1"/>
    </row>
    <row r="703" ht="12.75" customHeight="1">
      <c r="B703" s="1"/>
      <c r="C703" s="1"/>
      <c r="D703" s="1"/>
      <c r="E703" s="1"/>
    </row>
    <row r="704" ht="12.75" customHeight="1">
      <c r="B704" s="1"/>
      <c r="C704" s="1"/>
      <c r="D704" s="1"/>
      <c r="E704" s="1"/>
    </row>
    <row r="705" ht="12.75" customHeight="1">
      <c r="B705" s="1"/>
      <c r="C705" s="1"/>
      <c r="D705" s="1"/>
      <c r="E705" s="1"/>
    </row>
    <row r="706" ht="12.75" customHeight="1">
      <c r="B706" s="1"/>
      <c r="C706" s="1"/>
      <c r="D706" s="1"/>
      <c r="E706" s="1"/>
    </row>
    <row r="707" ht="12.75" customHeight="1">
      <c r="B707" s="1"/>
      <c r="C707" s="1"/>
      <c r="D707" s="1"/>
      <c r="E707" s="1"/>
    </row>
    <row r="708" ht="12.75" customHeight="1">
      <c r="B708" s="1"/>
      <c r="C708" s="1"/>
      <c r="D708" s="1"/>
      <c r="E708" s="1"/>
    </row>
    <row r="709" ht="12.75" customHeight="1">
      <c r="B709" s="1"/>
      <c r="C709" s="1"/>
      <c r="D709" s="1"/>
      <c r="E709" s="1"/>
    </row>
    <row r="710" ht="12.75" customHeight="1">
      <c r="B710" s="1"/>
      <c r="C710" s="1"/>
      <c r="D710" s="1"/>
      <c r="E710" s="1"/>
    </row>
    <row r="711" ht="12.75" customHeight="1">
      <c r="B711" s="1"/>
      <c r="C711" s="1"/>
      <c r="D711" s="1"/>
      <c r="E711" s="1"/>
    </row>
    <row r="712" ht="12.75" customHeight="1">
      <c r="B712" s="1"/>
      <c r="C712" s="1"/>
      <c r="D712" s="1"/>
      <c r="E712" s="1"/>
    </row>
    <row r="713" ht="12.75" customHeight="1">
      <c r="B713" s="1"/>
      <c r="C713" s="1"/>
      <c r="D713" s="1"/>
      <c r="E713" s="1"/>
    </row>
    <row r="714" ht="12.75" customHeight="1">
      <c r="B714" s="1"/>
      <c r="C714" s="1"/>
      <c r="D714" s="1"/>
      <c r="E714" s="1"/>
    </row>
    <row r="715" ht="12.75" customHeight="1">
      <c r="B715" s="1"/>
      <c r="C715" s="1"/>
      <c r="D715" s="1"/>
      <c r="E715" s="1"/>
    </row>
    <row r="716" ht="12.75" customHeight="1">
      <c r="B716" s="1"/>
      <c r="C716" s="1"/>
      <c r="D716" s="1"/>
      <c r="E716" s="1"/>
    </row>
    <row r="717" ht="12.75" customHeight="1">
      <c r="B717" s="1"/>
      <c r="C717" s="1"/>
      <c r="D717" s="1"/>
      <c r="E717" s="1"/>
    </row>
    <row r="718" ht="12.75" customHeight="1">
      <c r="B718" s="1"/>
      <c r="C718" s="1"/>
      <c r="D718" s="1"/>
      <c r="E718" s="1"/>
    </row>
    <row r="719" ht="12.75" customHeight="1">
      <c r="B719" s="1"/>
      <c r="C719" s="1"/>
      <c r="D719" s="1"/>
      <c r="E719" s="1"/>
    </row>
    <row r="720" ht="12.75" customHeight="1">
      <c r="B720" s="1"/>
      <c r="C720" s="1"/>
      <c r="D720" s="1"/>
      <c r="E720" s="1"/>
    </row>
    <row r="721" ht="12.75" customHeight="1">
      <c r="B721" s="1"/>
      <c r="C721" s="1"/>
      <c r="D721" s="1"/>
      <c r="E721" s="1"/>
    </row>
    <row r="722" ht="12.75" customHeight="1">
      <c r="B722" s="1"/>
      <c r="C722" s="1"/>
      <c r="D722" s="1"/>
      <c r="E722" s="1"/>
    </row>
    <row r="723" ht="12.75" customHeight="1">
      <c r="B723" s="1"/>
      <c r="C723" s="1"/>
      <c r="D723" s="1"/>
      <c r="E723" s="1"/>
    </row>
    <row r="724" ht="12.75" customHeight="1">
      <c r="B724" s="1"/>
      <c r="C724" s="1"/>
      <c r="D724" s="1"/>
      <c r="E724" s="1"/>
    </row>
    <row r="725" ht="12.75" customHeight="1">
      <c r="B725" s="1"/>
      <c r="C725" s="1"/>
      <c r="D725" s="1"/>
      <c r="E725" s="1"/>
    </row>
    <row r="726" ht="12.75" customHeight="1">
      <c r="B726" s="1"/>
      <c r="C726" s="1"/>
      <c r="D726" s="1"/>
      <c r="E726" s="1"/>
    </row>
    <row r="727" ht="12.75" customHeight="1">
      <c r="B727" s="1"/>
      <c r="C727" s="1"/>
      <c r="D727" s="1"/>
      <c r="E727" s="1"/>
    </row>
    <row r="728" ht="12.75" customHeight="1">
      <c r="B728" s="1"/>
      <c r="C728" s="1"/>
      <c r="D728" s="1"/>
      <c r="E728" s="1"/>
    </row>
    <row r="729" ht="12.75" customHeight="1">
      <c r="B729" s="1"/>
      <c r="C729" s="1"/>
      <c r="D729" s="1"/>
      <c r="E729" s="1"/>
    </row>
    <row r="730" ht="12.75" customHeight="1">
      <c r="B730" s="1"/>
      <c r="C730" s="1"/>
      <c r="D730" s="1"/>
      <c r="E730" s="1"/>
    </row>
    <row r="731" ht="12.75" customHeight="1">
      <c r="B731" s="1"/>
      <c r="C731" s="1"/>
      <c r="D731" s="1"/>
      <c r="E731" s="1"/>
    </row>
    <row r="732" ht="12.75" customHeight="1">
      <c r="B732" s="1"/>
      <c r="C732" s="1"/>
      <c r="D732" s="1"/>
      <c r="E732" s="1"/>
    </row>
    <row r="733" ht="12.75" customHeight="1">
      <c r="B733" s="1"/>
      <c r="C733" s="1"/>
      <c r="D733" s="1"/>
      <c r="E733" s="1"/>
    </row>
    <row r="734" ht="12.75" customHeight="1">
      <c r="B734" s="1"/>
      <c r="C734" s="1"/>
      <c r="D734" s="1"/>
      <c r="E734" s="1"/>
    </row>
    <row r="735" ht="12.75" customHeight="1">
      <c r="B735" s="1"/>
      <c r="C735" s="1"/>
      <c r="D735" s="1"/>
      <c r="E735" s="1"/>
    </row>
    <row r="736" ht="12.75" customHeight="1">
      <c r="B736" s="1"/>
      <c r="C736" s="1"/>
      <c r="D736" s="1"/>
      <c r="E736" s="1"/>
    </row>
    <row r="737" ht="12.75" customHeight="1">
      <c r="B737" s="1"/>
      <c r="C737" s="1"/>
      <c r="D737" s="1"/>
      <c r="E737" s="1"/>
    </row>
    <row r="738" ht="12.75" customHeight="1">
      <c r="B738" s="1"/>
      <c r="C738" s="1"/>
      <c r="D738" s="1"/>
      <c r="E738" s="1"/>
    </row>
    <row r="739" ht="12.75" customHeight="1">
      <c r="B739" s="1"/>
      <c r="C739" s="1"/>
      <c r="D739" s="1"/>
      <c r="E739" s="1"/>
    </row>
    <row r="740" ht="12.75" customHeight="1">
      <c r="B740" s="1"/>
      <c r="C740" s="1"/>
      <c r="D740" s="1"/>
      <c r="E740" s="1"/>
    </row>
    <row r="741" ht="12.75" customHeight="1">
      <c r="B741" s="1"/>
      <c r="C741" s="1"/>
      <c r="D741" s="1"/>
      <c r="E741" s="1"/>
    </row>
    <row r="742" ht="12.75" customHeight="1">
      <c r="B742" s="1"/>
      <c r="C742" s="1"/>
      <c r="D742" s="1"/>
      <c r="E742" s="1"/>
    </row>
    <row r="743" ht="12.75" customHeight="1">
      <c r="B743" s="1"/>
      <c r="C743" s="1"/>
      <c r="D743" s="1"/>
      <c r="E743" s="1"/>
    </row>
    <row r="744" ht="12.75" customHeight="1">
      <c r="B744" s="1"/>
      <c r="C744" s="1"/>
      <c r="D744" s="1"/>
      <c r="E744" s="1"/>
    </row>
    <row r="745" ht="12.75" customHeight="1">
      <c r="B745" s="1"/>
      <c r="C745" s="1"/>
      <c r="D745" s="1"/>
      <c r="E745" s="1"/>
    </row>
    <row r="746" ht="12.75" customHeight="1">
      <c r="B746" s="1"/>
      <c r="C746" s="1"/>
      <c r="D746" s="1"/>
      <c r="E746" s="1"/>
    </row>
    <row r="747" ht="12.75" customHeight="1">
      <c r="B747" s="1"/>
      <c r="C747" s="1"/>
      <c r="D747" s="1"/>
      <c r="E747" s="1"/>
    </row>
    <row r="748" ht="12.75" customHeight="1">
      <c r="B748" s="1"/>
      <c r="C748" s="1"/>
      <c r="D748" s="1"/>
      <c r="E748" s="1"/>
    </row>
    <row r="749" ht="12.75" customHeight="1">
      <c r="B749" s="1"/>
      <c r="C749" s="1"/>
      <c r="D749" s="1"/>
      <c r="E749" s="1"/>
    </row>
    <row r="750" ht="12.75" customHeight="1">
      <c r="B750" s="1"/>
      <c r="C750" s="1"/>
      <c r="D750" s="1"/>
      <c r="E750" s="1"/>
    </row>
    <row r="751" ht="12.75" customHeight="1">
      <c r="B751" s="1"/>
      <c r="C751" s="1"/>
      <c r="D751" s="1"/>
      <c r="E751" s="1"/>
    </row>
    <row r="752" ht="12.75" customHeight="1">
      <c r="B752" s="1"/>
      <c r="C752" s="1"/>
      <c r="D752" s="1"/>
      <c r="E752" s="1"/>
    </row>
    <row r="753" ht="12.75" customHeight="1">
      <c r="B753" s="1"/>
      <c r="C753" s="1"/>
      <c r="D753" s="1"/>
      <c r="E753" s="1"/>
    </row>
    <row r="754" ht="12.75" customHeight="1">
      <c r="B754" s="1"/>
      <c r="C754" s="1"/>
      <c r="D754" s="1"/>
      <c r="E754" s="1"/>
    </row>
    <row r="755" ht="12.75" customHeight="1">
      <c r="B755" s="1"/>
      <c r="C755" s="1"/>
      <c r="D755" s="1"/>
      <c r="E755" s="1"/>
    </row>
    <row r="756" ht="12.75" customHeight="1">
      <c r="B756" s="1"/>
      <c r="C756" s="1"/>
      <c r="D756" s="1"/>
      <c r="E756" s="1"/>
    </row>
    <row r="757" ht="12.75" customHeight="1">
      <c r="B757" s="1"/>
      <c r="C757" s="1"/>
      <c r="D757" s="1"/>
      <c r="E757" s="1"/>
    </row>
    <row r="758" ht="12.75" customHeight="1">
      <c r="B758" s="1"/>
      <c r="C758" s="1"/>
      <c r="D758" s="1"/>
      <c r="E758" s="1"/>
    </row>
    <row r="759" ht="12.75" customHeight="1">
      <c r="B759" s="1"/>
      <c r="C759" s="1"/>
      <c r="D759" s="1"/>
      <c r="E759" s="1"/>
    </row>
    <row r="760" ht="12.75" customHeight="1">
      <c r="B760" s="1"/>
      <c r="C760" s="1"/>
      <c r="D760" s="1"/>
      <c r="E760" s="1"/>
    </row>
    <row r="761" ht="12.75" customHeight="1">
      <c r="B761" s="1"/>
      <c r="C761" s="1"/>
      <c r="D761" s="1"/>
      <c r="E761" s="1"/>
    </row>
    <row r="762" ht="12.75" customHeight="1">
      <c r="B762" s="1"/>
      <c r="C762" s="1"/>
      <c r="D762" s="1"/>
      <c r="E762" s="1"/>
    </row>
    <row r="763" ht="12.75" customHeight="1">
      <c r="B763" s="1"/>
      <c r="C763" s="1"/>
      <c r="D763" s="1"/>
      <c r="E763" s="1"/>
    </row>
    <row r="764" ht="12.75" customHeight="1">
      <c r="B764" s="1"/>
      <c r="C764" s="1"/>
      <c r="D764" s="1"/>
      <c r="E764" s="1"/>
    </row>
    <row r="765" ht="12.75" customHeight="1">
      <c r="B765" s="1"/>
      <c r="C765" s="1"/>
      <c r="D765" s="1"/>
      <c r="E765" s="1"/>
    </row>
    <row r="766" ht="12.75" customHeight="1">
      <c r="B766" s="1"/>
      <c r="C766" s="1"/>
      <c r="D766" s="1"/>
      <c r="E766" s="1"/>
    </row>
    <row r="767" ht="12.75" customHeight="1">
      <c r="B767" s="1"/>
      <c r="C767" s="1"/>
      <c r="D767" s="1"/>
      <c r="E767" s="1"/>
    </row>
    <row r="768" ht="12.75" customHeight="1">
      <c r="B768" s="1"/>
      <c r="C768" s="1"/>
      <c r="D768" s="1"/>
      <c r="E768" s="1"/>
    </row>
    <row r="769" ht="12.75" customHeight="1">
      <c r="B769" s="1"/>
      <c r="C769" s="1"/>
      <c r="D769" s="1"/>
      <c r="E769" s="1"/>
    </row>
    <row r="770" ht="12.75" customHeight="1">
      <c r="B770" s="1"/>
      <c r="C770" s="1"/>
      <c r="D770" s="1"/>
      <c r="E770" s="1"/>
    </row>
    <row r="771" ht="12.75" customHeight="1">
      <c r="B771" s="1"/>
      <c r="C771" s="1"/>
      <c r="D771" s="1"/>
      <c r="E771" s="1"/>
    </row>
    <row r="772" ht="12.75" customHeight="1">
      <c r="B772" s="1"/>
      <c r="C772" s="1"/>
      <c r="D772" s="1"/>
      <c r="E772" s="1"/>
    </row>
    <row r="773" ht="12.75" customHeight="1">
      <c r="B773" s="1"/>
      <c r="C773" s="1"/>
      <c r="D773" s="1"/>
      <c r="E773" s="1"/>
    </row>
    <row r="774" ht="12.75" customHeight="1">
      <c r="B774" s="1"/>
      <c r="C774" s="1"/>
      <c r="D774" s="1"/>
      <c r="E774" s="1"/>
    </row>
    <row r="775" ht="12.75" customHeight="1">
      <c r="B775" s="1"/>
      <c r="C775" s="1"/>
      <c r="D775" s="1"/>
      <c r="E775" s="1"/>
    </row>
    <row r="776" ht="12.75" customHeight="1">
      <c r="B776" s="1"/>
      <c r="C776" s="1"/>
      <c r="D776" s="1"/>
      <c r="E776" s="1"/>
    </row>
    <row r="777" ht="12.75" customHeight="1">
      <c r="B777" s="1"/>
      <c r="C777" s="1"/>
      <c r="D777" s="1"/>
      <c r="E777" s="1"/>
    </row>
    <row r="778" ht="12.75" customHeight="1">
      <c r="B778" s="1"/>
      <c r="C778" s="1"/>
      <c r="D778" s="1"/>
      <c r="E778" s="1"/>
    </row>
    <row r="779" ht="12.75" customHeight="1">
      <c r="B779" s="1"/>
      <c r="C779" s="1"/>
      <c r="D779" s="1"/>
      <c r="E779" s="1"/>
    </row>
    <row r="780" ht="12.75" customHeight="1">
      <c r="B780" s="1"/>
      <c r="C780" s="1"/>
      <c r="D780" s="1"/>
      <c r="E780" s="1"/>
    </row>
    <row r="781" ht="12.75" customHeight="1">
      <c r="B781" s="1"/>
      <c r="C781" s="1"/>
      <c r="D781" s="1"/>
      <c r="E781" s="1"/>
    </row>
    <row r="782" ht="12.75" customHeight="1">
      <c r="B782" s="1"/>
      <c r="C782" s="1"/>
      <c r="D782" s="1"/>
      <c r="E782" s="1"/>
    </row>
    <row r="783" ht="12.75" customHeight="1">
      <c r="B783" s="1"/>
      <c r="C783" s="1"/>
      <c r="D783" s="1"/>
      <c r="E783" s="1"/>
    </row>
    <row r="784" ht="12.75" customHeight="1">
      <c r="B784" s="1"/>
      <c r="C784" s="1"/>
      <c r="D784" s="1"/>
      <c r="E784" s="1"/>
    </row>
    <row r="785" ht="12.75" customHeight="1">
      <c r="B785" s="1"/>
      <c r="C785" s="1"/>
      <c r="D785" s="1"/>
      <c r="E785" s="1"/>
    </row>
    <row r="786" ht="12.75" customHeight="1">
      <c r="B786" s="1"/>
      <c r="C786" s="1"/>
      <c r="D786" s="1"/>
      <c r="E786" s="1"/>
    </row>
    <row r="787" ht="12.75" customHeight="1">
      <c r="B787" s="1"/>
      <c r="C787" s="1"/>
      <c r="D787" s="1"/>
      <c r="E787" s="1"/>
    </row>
    <row r="788" ht="12.75" customHeight="1">
      <c r="B788" s="1"/>
      <c r="C788" s="1"/>
      <c r="D788" s="1"/>
      <c r="E788" s="1"/>
    </row>
    <row r="789" ht="12.75" customHeight="1">
      <c r="B789" s="1"/>
      <c r="C789" s="1"/>
      <c r="D789" s="1"/>
      <c r="E789" s="1"/>
    </row>
    <row r="790" ht="12.75" customHeight="1">
      <c r="B790" s="1"/>
      <c r="C790" s="1"/>
      <c r="D790" s="1"/>
      <c r="E790" s="1"/>
    </row>
    <row r="791" ht="12.75" customHeight="1">
      <c r="B791" s="1"/>
      <c r="C791" s="1"/>
      <c r="D791" s="1"/>
      <c r="E791" s="1"/>
    </row>
    <row r="792" ht="12.75" customHeight="1">
      <c r="B792" s="1"/>
      <c r="C792" s="1"/>
      <c r="D792" s="1"/>
      <c r="E792" s="1"/>
    </row>
    <row r="793" ht="12.75" customHeight="1">
      <c r="B793" s="1"/>
      <c r="C793" s="1"/>
      <c r="D793" s="1"/>
      <c r="E793" s="1"/>
    </row>
    <row r="794" ht="12.75" customHeight="1">
      <c r="B794" s="1"/>
      <c r="C794" s="1"/>
      <c r="D794" s="1"/>
      <c r="E794" s="1"/>
    </row>
    <row r="795" ht="12.75" customHeight="1">
      <c r="B795" s="1"/>
      <c r="C795" s="1"/>
      <c r="D795" s="1"/>
      <c r="E795" s="1"/>
    </row>
    <row r="796" ht="12.75" customHeight="1">
      <c r="B796" s="1"/>
      <c r="C796" s="1"/>
      <c r="D796" s="1"/>
      <c r="E796" s="1"/>
    </row>
    <row r="797" ht="12.75" customHeight="1">
      <c r="B797" s="1"/>
      <c r="C797" s="1"/>
      <c r="D797" s="1"/>
      <c r="E797" s="1"/>
    </row>
    <row r="798" ht="12.75" customHeight="1">
      <c r="B798" s="1"/>
      <c r="C798" s="1"/>
      <c r="D798" s="1"/>
      <c r="E798" s="1"/>
    </row>
    <row r="799" ht="12.75" customHeight="1">
      <c r="B799" s="1"/>
      <c r="C799" s="1"/>
      <c r="D799" s="1"/>
      <c r="E799" s="1"/>
    </row>
    <row r="800" ht="12.75" customHeight="1">
      <c r="B800" s="1"/>
      <c r="C800" s="1"/>
      <c r="D800" s="1"/>
      <c r="E800" s="1"/>
    </row>
    <row r="801" ht="12.75" customHeight="1">
      <c r="B801" s="1"/>
      <c r="C801" s="1"/>
      <c r="D801" s="1"/>
      <c r="E801" s="1"/>
    </row>
    <row r="802" ht="12.75" customHeight="1">
      <c r="B802" s="1"/>
      <c r="C802" s="1"/>
      <c r="D802" s="1"/>
      <c r="E802" s="1"/>
    </row>
    <row r="803" ht="12.75" customHeight="1">
      <c r="B803" s="1"/>
      <c r="C803" s="1"/>
      <c r="D803" s="1"/>
      <c r="E803" s="1"/>
    </row>
    <row r="804" ht="12.75" customHeight="1">
      <c r="B804" s="1"/>
      <c r="C804" s="1"/>
      <c r="D804" s="1"/>
      <c r="E804" s="1"/>
    </row>
    <row r="805" ht="12.75" customHeight="1">
      <c r="B805" s="1"/>
      <c r="C805" s="1"/>
      <c r="D805" s="1"/>
      <c r="E805" s="1"/>
    </row>
    <row r="806" ht="12.75" customHeight="1">
      <c r="B806" s="1"/>
      <c r="C806" s="1"/>
      <c r="D806" s="1"/>
      <c r="E806" s="1"/>
    </row>
    <row r="807" ht="12.75" customHeight="1">
      <c r="B807" s="1"/>
      <c r="C807" s="1"/>
      <c r="D807" s="1"/>
      <c r="E807" s="1"/>
    </row>
    <row r="808" ht="12.75" customHeight="1">
      <c r="B808" s="1"/>
      <c r="C808" s="1"/>
      <c r="D808" s="1"/>
      <c r="E808" s="1"/>
    </row>
    <row r="809" ht="12.75" customHeight="1">
      <c r="B809" s="1"/>
      <c r="C809" s="1"/>
      <c r="D809" s="1"/>
      <c r="E809" s="1"/>
    </row>
    <row r="810" ht="12.75" customHeight="1">
      <c r="B810" s="1"/>
      <c r="C810" s="1"/>
      <c r="D810" s="1"/>
      <c r="E810" s="1"/>
    </row>
    <row r="811" ht="12.75" customHeight="1">
      <c r="B811" s="1"/>
      <c r="C811" s="1"/>
      <c r="D811" s="1"/>
      <c r="E811" s="1"/>
    </row>
    <row r="812" ht="12.75" customHeight="1">
      <c r="B812" s="1"/>
      <c r="C812" s="1"/>
      <c r="D812" s="1"/>
      <c r="E812" s="1"/>
    </row>
    <row r="813" ht="12.75" customHeight="1">
      <c r="B813" s="1"/>
      <c r="C813" s="1"/>
      <c r="D813" s="1"/>
      <c r="E813" s="1"/>
    </row>
    <row r="814" ht="12.75" customHeight="1">
      <c r="B814" s="1"/>
      <c r="C814" s="1"/>
      <c r="D814" s="1"/>
      <c r="E814" s="1"/>
    </row>
    <row r="815" ht="12.75" customHeight="1">
      <c r="B815" s="1"/>
      <c r="C815" s="1"/>
      <c r="D815" s="1"/>
      <c r="E815" s="1"/>
    </row>
    <row r="816" ht="12.75" customHeight="1">
      <c r="B816" s="1"/>
      <c r="C816" s="1"/>
      <c r="D816" s="1"/>
      <c r="E816" s="1"/>
    </row>
    <row r="817" ht="12.75" customHeight="1">
      <c r="B817" s="1"/>
      <c r="C817" s="1"/>
      <c r="D817" s="1"/>
      <c r="E817" s="1"/>
    </row>
    <row r="818" ht="12.75" customHeight="1">
      <c r="B818" s="1"/>
      <c r="C818" s="1"/>
      <c r="D818" s="1"/>
      <c r="E818" s="1"/>
    </row>
    <row r="819" ht="12.75" customHeight="1">
      <c r="B819" s="1"/>
      <c r="C819" s="1"/>
      <c r="D819" s="1"/>
      <c r="E819" s="1"/>
    </row>
    <row r="820" ht="12.75" customHeight="1">
      <c r="B820" s="1"/>
      <c r="C820" s="1"/>
      <c r="D820" s="1"/>
      <c r="E820" s="1"/>
    </row>
    <row r="821" ht="12.75" customHeight="1">
      <c r="B821" s="1"/>
      <c r="C821" s="1"/>
      <c r="D821" s="1"/>
      <c r="E821" s="1"/>
    </row>
    <row r="822" ht="12.75" customHeight="1">
      <c r="B822" s="1"/>
      <c r="C822" s="1"/>
      <c r="D822" s="1"/>
      <c r="E822" s="1"/>
    </row>
    <row r="823" ht="12.75" customHeight="1">
      <c r="B823" s="1"/>
      <c r="C823" s="1"/>
      <c r="D823" s="1"/>
      <c r="E823" s="1"/>
    </row>
    <row r="824" ht="12.75" customHeight="1">
      <c r="B824" s="1"/>
      <c r="C824" s="1"/>
      <c r="D824" s="1"/>
      <c r="E824" s="1"/>
    </row>
    <row r="825" ht="12.75" customHeight="1">
      <c r="B825" s="1"/>
      <c r="C825" s="1"/>
      <c r="D825" s="1"/>
      <c r="E825" s="1"/>
    </row>
    <row r="826" ht="12.75" customHeight="1">
      <c r="B826" s="1"/>
      <c r="C826" s="1"/>
      <c r="D826" s="1"/>
      <c r="E826" s="1"/>
    </row>
    <row r="827" ht="12.75" customHeight="1">
      <c r="B827" s="1"/>
      <c r="C827" s="1"/>
      <c r="D827" s="1"/>
      <c r="E827" s="1"/>
    </row>
    <row r="828" ht="12.75" customHeight="1">
      <c r="B828" s="1"/>
      <c r="C828" s="1"/>
      <c r="D828" s="1"/>
      <c r="E828" s="1"/>
    </row>
    <row r="829" ht="12.75" customHeight="1">
      <c r="B829" s="1"/>
      <c r="C829" s="1"/>
      <c r="D829" s="1"/>
      <c r="E829" s="1"/>
    </row>
    <row r="830" ht="12.75" customHeight="1">
      <c r="B830" s="1"/>
      <c r="C830" s="1"/>
      <c r="D830" s="1"/>
      <c r="E830" s="1"/>
    </row>
    <row r="831" ht="12.75" customHeight="1">
      <c r="B831" s="1"/>
      <c r="C831" s="1"/>
      <c r="D831" s="1"/>
      <c r="E831" s="1"/>
    </row>
    <row r="832" ht="12.75" customHeight="1">
      <c r="B832" s="1"/>
      <c r="C832" s="1"/>
      <c r="D832" s="1"/>
      <c r="E832" s="1"/>
    </row>
    <row r="833" ht="12.75" customHeight="1">
      <c r="B833" s="1"/>
      <c r="C833" s="1"/>
      <c r="D833" s="1"/>
      <c r="E833" s="1"/>
    </row>
    <row r="834" ht="12.75" customHeight="1">
      <c r="B834" s="1"/>
      <c r="C834" s="1"/>
      <c r="D834" s="1"/>
      <c r="E834" s="1"/>
    </row>
    <row r="835" ht="12.75" customHeight="1">
      <c r="B835" s="1"/>
      <c r="C835" s="1"/>
      <c r="D835" s="1"/>
      <c r="E835" s="1"/>
    </row>
    <row r="836" ht="12.75" customHeight="1">
      <c r="B836" s="1"/>
      <c r="C836" s="1"/>
      <c r="D836" s="1"/>
      <c r="E836" s="1"/>
    </row>
    <row r="837" ht="12.75" customHeight="1">
      <c r="B837" s="1"/>
      <c r="C837" s="1"/>
      <c r="D837" s="1"/>
      <c r="E837" s="1"/>
    </row>
    <row r="838" ht="12.75" customHeight="1">
      <c r="B838" s="1"/>
      <c r="C838" s="1"/>
      <c r="D838" s="1"/>
      <c r="E838" s="1"/>
    </row>
    <row r="839" ht="12.75" customHeight="1">
      <c r="B839" s="1"/>
      <c r="C839" s="1"/>
      <c r="D839" s="1"/>
      <c r="E839" s="1"/>
    </row>
    <row r="840" ht="12.75" customHeight="1">
      <c r="B840" s="1"/>
      <c r="C840" s="1"/>
      <c r="D840" s="1"/>
      <c r="E840" s="1"/>
    </row>
    <row r="841" ht="12.75" customHeight="1">
      <c r="B841" s="1"/>
      <c r="C841" s="1"/>
      <c r="D841" s="1"/>
      <c r="E841" s="1"/>
    </row>
    <row r="842" ht="12.75" customHeight="1">
      <c r="B842" s="1"/>
      <c r="C842" s="1"/>
      <c r="D842" s="1"/>
      <c r="E842" s="1"/>
    </row>
    <row r="843" ht="12.75" customHeight="1">
      <c r="B843" s="1"/>
      <c r="C843" s="1"/>
      <c r="D843" s="1"/>
      <c r="E843" s="1"/>
    </row>
    <row r="844" ht="12.75" customHeight="1">
      <c r="B844" s="1"/>
      <c r="C844" s="1"/>
      <c r="D844" s="1"/>
      <c r="E844" s="1"/>
    </row>
    <row r="845" ht="12.75" customHeight="1">
      <c r="B845" s="1"/>
      <c r="C845" s="1"/>
      <c r="D845" s="1"/>
      <c r="E845" s="1"/>
    </row>
    <row r="846" ht="12.75" customHeight="1">
      <c r="B846" s="1"/>
      <c r="C846" s="1"/>
      <c r="D846" s="1"/>
      <c r="E846" s="1"/>
    </row>
    <row r="847" ht="12.75" customHeight="1">
      <c r="B847" s="1"/>
      <c r="C847" s="1"/>
      <c r="D847" s="1"/>
      <c r="E847" s="1"/>
    </row>
    <row r="848" ht="12.75" customHeight="1">
      <c r="B848" s="1"/>
      <c r="C848" s="1"/>
      <c r="D848" s="1"/>
      <c r="E848" s="1"/>
    </row>
    <row r="849" ht="12.75" customHeight="1">
      <c r="B849" s="1"/>
      <c r="C849" s="1"/>
      <c r="D849" s="1"/>
      <c r="E849" s="1"/>
    </row>
    <row r="850" ht="12.75" customHeight="1">
      <c r="B850" s="1"/>
      <c r="C850" s="1"/>
      <c r="D850" s="1"/>
      <c r="E850" s="1"/>
    </row>
    <row r="851" ht="12.75" customHeight="1">
      <c r="B851" s="1"/>
      <c r="C851" s="1"/>
      <c r="D851" s="1"/>
      <c r="E851" s="1"/>
    </row>
    <row r="852" ht="12.75" customHeight="1">
      <c r="B852" s="1"/>
      <c r="C852" s="1"/>
      <c r="D852" s="1"/>
      <c r="E852" s="1"/>
    </row>
    <row r="853" ht="12.75" customHeight="1">
      <c r="B853" s="1"/>
      <c r="C853" s="1"/>
      <c r="D853" s="1"/>
      <c r="E853" s="1"/>
    </row>
    <row r="854" ht="12.75" customHeight="1">
      <c r="B854" s="1"/>
      <c r="C854" s="1"/>
      <c r="D854" s="1"/>
      <c r="E854" s="1"/>
    </row>
    <row r="855" ht="12.75" customHeight="1">
      <c r="B855" s="1"/>
      <c r="C855" s="1"/>
      <c r="D855" s="1"/>
      <c r="E855" s="1"/>
    </row>
    <row r="856" ht="12.75" customHeight="1">
      <c r="B856" s="1"/>
      <c r="C856" s="1"/>
      <c r="D856" s="1"/>
      <c r="E856" s="1"/>
    </row>
    <row r="857" ht="12.75" customHeight="1">
      <c r="B857" s="1"/>
      <c r="C857" s="1"/>
      <c r="D857" s="1"/>
      <c r="E857" s="1"/>
    </row>
    <row r="858" ht="12.75" customHeight="1">
      <c r="B858" s="1"/>
      <c r="C858" s="1"/>
      <c r="D858" s="1"/>
      <c r="E858" s="1"/>
    </row>
    <row r="859" ht="12.75" customHeight="1">
      <c r="B859" s="1"/>
      <c r="C859" s="1"/>
      <c r="D859" s="1"/>
      <c r="E859" s="1"/>
    </row>
    <row r="860" ht="12.75" customHeight="1">
      <c r="B860" s="1"/>
      <c r="C860" s="1"/>
      <c r="D860" s="1"/>
      <c r="E860" s="1"/>
    </row>
    <row r="861" ht="12.75" customHeight="1">
      <c r="B861" s="1"/>
      <c r="C861" s="1"/>
      <c r="D861" s="1"/>
      <c r="E861" s="1"/>
    </row>
    <row r="862" ht="12.75" customHeight="1">
      <c r="B862" s="1"/>
      <c r="C862" s="1"/>
      <c r="D862" s="1"/>
      <c r="E862" s="1"/>
    </row>
    <row r="863" ht="12.75" customHeight="1">
      <c r="B863" s="1"/>
      <c r="C863" s="1"/>
      <c r="D863" s="1"/>
      <c r="E863" s="1"/>
    </row>
    <row r="864" ht="12.75" customHeight="1">
      <c r="B864" s="1"/>
      <c r="C864" s="1"/>
      <c r="D864" s="1"/>
      <c r="E864" s="1"/>
    </row>
    <row r="865" ht="12.75" customHeight="1">
      <c r="B865" s="1"/>
      <c r="C865" s="1"/>
      <c r="D865" s="1"/>
      <c r="E865" s="1"/>
    </row>
    <row r="866" ht="12.75" customHeight="1">
      <c r="B866" s="1"/>
      <c r="C866" s="1"/>
      <c r="D866" s="1"/>
      <c r="E866" s="1"/>
    </row>
    <row r="867" ht="12.75" customHeight="1">
      <c r="B867" s="1"/>
      <c r="C867" s="1"/>
      <c r="D867" s="1"/>
      <c r="E867" s="1"/>
    </row>
    <row r="868" ht="12.75" customHeight="1">
      <c r="B868" s="1"/>
      <c r="C868" s="1"/>
      <c r="D868" s="1"/>
      <c r="E868" s="1"/>
    </row>
    <row r="869" ht="12.75" customHeight="1">
      <c r="B869" s="1"/>
      <c r="C869" s="1"/>
      <c r="D869" s="1"/>
      <c r="E869" s="1"/>
    </row>
    <row r="870" ht="12.75" customHeight="1">
      <c r="B870" s="1"/>
      <c r="C870" s="1"/>
      <c r="D870" s="1"/>
      <c r="E870" s="1"/>
    </row>
    <row r="871" ht="12.75" customHeight="1">
      <c r="B871" s="1"/>
      <c r="C871" s="1"/>
      <c r="D871" s="1"/>
      <c r="E871" s="1"/>
    </row>
    <row r="872" ht="12.75" customHeight="1">
      <c r="B872" s="1"/>
      <c r="C872" s="1"/>
      <c r="D872" s="1"/>
      <c r="E872" s="1"/>
    </row>
    <row r="873" ht="12.75" customHeight="1">
      <c r="B873" s="1"/>
      <c r="C873" s="1"/>
      <c r="D873" s="1"/>
      <c r="E873" s="1"/>
    </row>
    <row r="874" ht="12.75" customHeight="1">
      <c r="B874" s="1"/>
      <c r="C874" s="1"/>
      <c r="D874" s="1"/>
      <c r="E874" s="1"/>
    </row>
    <row r="875" ht="12.75" customHeight="1">
      <c r="B875" s="1"/>
      <c r="C875" s="1"/>
      <c r="D875" s="1"/>
      <c r="E875" s="1"/>
    </row>
    <row r="876" ht="12.75" customHeight="1">
      <c r="B876" s="1"/>
      <c r="C876" s="1"/>
      <c r="D876" s="1"/>
      <c r="E876" s="1"/>
    </row>
    <row r="877" ht="12.75" customHeight="1">
      <c r="B877" s="1"/>
      <c r="C877" s="1"/>
      <c r="D877" s="1"/>
      <c r="E877" s="1"/>
    </row>
    <row r="878" ht="12.75" customHeight="1">
      <c r="B878" s="1"/>
      <c r="C878" s="1"/>
      <c r="D878" s="1"/>
      <c r="E878" s="1"/>
    </row>
    <row r="879" ht="12.75" customHeight="1">
      <c r="B879" s="1"/>
      <c r="C879" s="1"/>
      <c r="D879" s="1"/>
      <c r="E879" s="1"/>
    </row>
    <row r="880" ht="12.75" customHeight="1">
      <c r="B880" s="1"/>
      <c r="C880" s="1"/>
      <c r="D880" s="1"/>
      <c r="E880" s="1"/>
    </row>
    <row r="881" ht="12.75" customHeight="1">
      <c r="B881" s="1"/>
      <c r="C881" s="1"/>
      <c r="D881" s="1"/>
      <c r="E881" s="1"/>
    </row>
    <row r="882" ht="12.75" customHeight="1">
      <c r="B882" s="1"/>
      <c r="C882" s="1"/>
      <c r="D882" s="1"/>
      <c r="E882" s="1"/>
    </row>
    <row r="883" ht="12.75" customHeight="1">
      <c r="B883" s="1"/>
      <c r="C883" s="1"/>
      <c r="D883" s="1"/>
      <c r="E883" s="1"/>
    </row>
    <row r="884" ht="12.75" customHeight="1">
      <c r="B884" s="1"/>
      <c r="C884" s="1"/>
      <c r="D884" s="1"/>
      <c r="E884" s="1"/>
    </row>
    <row r="885" ht="12.75" customHeight="1">
      <c r="B885" s="1"/>
      <c r="C885" s="1"/>
      <c r="D885" s="1"/>
      <c r="E885" s="1"/>
    </row>
    <row r="886" ht="12.75" customHeight="1">
      <c r="B886" s="1"/>
      <c r="C886" s="1"/>
      <c r="D886" s="1"/>
      <c r="E886" s="1"/>
    </row>
    <row r="887" ht="12.75" customHeight="1">
      <c r="B887" s="1"/>
      <c r="C887" s="1"/>
      <c r="D887" s="1"/>
      <c r="E887" s="1"/>
    </row>
    <row r="888" ht="12.75" customHeight="1">
      <c r="B888" s="1"/>
      <c r="C888" s="1"/>
      <c r="D888" s="1"/>
      <c r="E888" s="1"/>
    </row>
    <row r="889" ht="12.75" customHeight="1">
      <c r="B889" s="1"/>
      <c r="C889" s="1"/>
      <c r="D889" s="1"/>
      <c r="E889" s="1"/>
    </row>
    <row r="890" ht="12.75" customHeight="1">
      <c r="B890" s="1"/>
      <c r="C890" s="1"/>
      <c r="D890" s="1"/>
      <c r="E890" s="1"/>
    </row>
    <row r="891" ht="12.75" customHeight="1">
      <c r="B891" s="1"/>
      <c r="C891" s="1"/>
      <c r="D891" s="1"/>
      <c r="E891" s="1"/>
    </row>
    <row r="892" ht="12.75" customHeight="1">
      <c r="B892" s="1"/>
      <c r="C892" s="1"/>
      <c r="D892" s="1"/>
      <c r="E892" s="1"/>
    </row>
    <row r="893" ht="12.75" customHeight="1">
      <c r="B893" s="1"/>
      <c r="C893" s="1"/>
      <c r="D893" s="1"/>
      <c r="E893" s="1"/>
    </row>
    <row r="894" ht="12.75" customHeight="1">
      <c r="B894" s="1"/>
      <c r="C894" s="1"/>
      <c r="D894" s="1"/>
      <c r="E894" s="1"/>
    </row>
    <row r="895" ht="12.75" customHeight="1">
      <c r="B895" s="1"/>
      <c r="C895" s="1"/>
      <c r="D895" s="1"/>
      <c r="E895" s="1"/>
    </row>
    <row r="896" ht="12.75" customHeight="1">
      <c r="B896" s="1"/>
      <c r="C896" s="1"/>
      <c r="D896" s="1"/>
      <c r="E896" s="1"/>
    </row>
    <row r="897" ht="12.75" customHeight="1">
      <c r="B897" s="1"/>
      <c r="C897" s="1"/>
      <c r="D897" s="1"/>
      <c r="E897" s="1"/>
    </row>
    <row r="898" ht="12.75" customHeight="1">
      <c r="B898" s="1"/>
      <c r="C898" s="1"/>
      <c r="D898" s="1"/>
      <c r="E898" s="1"/>
    </row>
    <row r="899" ht="12.75" customHeight="1">
      <c r="B899" s="1"/>
      <c r="C899" s="1"/>
      <c r="D899" s="1"/>
      <c r="E899" s="1"/>
    </row>
    <row r="900" ht="12.75" customHeight="1">
      <c r="B900" s="1"/>
      <c r="C900" s="1"/>
      <c r="D900" s="1"/>
      <c r="E900" s="1"/>
    </row>
    <row r="901" ht="12.75" customHeight="1">
      <c r="B901" s="1"/>
      <c r="C901" s="1"/>
      <c r="D901" s="1"/>
      <c r="E901" s="1"/>
    </row>
    <row r="902" ht="12.75" customHeight="1">
      <c r="B902" s="1"/>
      <c r="C902" s="1"/>
      <c r="D902" s="1"/>
      <c r="E902" s="1"/>
    </row>
    <row r="903" ht="12.75" customHeight="1">
      <c r="B903" s="1"/>
      <c r="C903" s="1"/>
      <c r="D903" s="1"/>
      <c r="E903" s="1"/>
    </row>
    <row r="904" ht="12.75" customHeight="1">
      <c r="B904" s="1"/>
      <c r="C904" s="1"/>
      <c r="D904" s="1"/>
      <c r="E904" s="1"/>
    </row>
    <row r="905" ht="12.75" customHeight="1">
      <c r="B905" s="1"/>
      <c r="C905" s="1"/>
      <c r="D905" s="1"/>
      <c r="E905" s="1"/>
    </row>
    <row r="906" ht="12.75" customHeight="1">
      <c r="B906" s="1"/>
      <c r="C906" s="1"/>
      <c r="D906" s="1"/>
      <c r="E906" s="1"/>
    </row>
    <row r="907" ht="12.75" customHeight="1">
      <c r="B907" s="1"/>
      <c r="C907" s="1"/>
      <c r="D907" s="1"/>
      <c r="E907" s="1"/>
    </row>
    <row r="908" ht="12.75" customHeight="1">
      <c r="B908" s="1"/>
      <c r="C908" s="1"/>
      <c r="D908" s="1"/>
      <c r="E908" s="1"/>
    </row>
    <row r="909" ht="12.75" customHeight="1">
      <c r="B909" s="1"/>
      <c r="C909" s="1"/>
      <c r="D909" s="1"/>
      <c r="E909" s="1"/>
    </row>
    <row r="910" ht="12.75" customHeight="1">
      <c r="B910" s="1"/>
      <c r="C910" s="1"/>
      <c r="D910" s="1"/>
      <c r="E910" s="1"/>
    </row>
    <row r="911" ht="12.75" customHeight="1">
      <c r="B911" s="1"/>
      <c r="C911" s="1"/>
      <c r="D911" s="1"/>
      <c r="E911" s="1"/>
    </row>
    <row r="912" ht="12.75" customHeight="1">
      <c r="B912" s="1"/>
      <c r="C912" s="1"/>
      <c r="D912" s="1"/>
      <c r="E912" s="1"/>
    </row>
    <row r="913" ht="12.75" customHeight="1">
      <c r="B913" s="1"/>
      <c r="C913" s="1"/>
      <c r="D913" s="1"/>
      <c r="E913" s="1"/>
    </row>
    <row r="914" ht="12.75" customHeight="1">
      <c r="B914" s="1"/>
      <c r="C914" s="1"/>
      <c r="D914" s="1"/>
      <c r="E914" s="1"/>
    </row>
    <row r="915" ht="12.75" customHeight="1">
      <c r="B915" s="1"/>
      <c r="C915" s="1"/>
      <c r="D915" s="1"/>
      <c r="E915" s="1"/>
    </row>
    <row r="916" ht="12.75" customHeight="1">
      <c r="B916" s="1"/>
      <c r="C916" s="1"/>
      <c r="D916" s="1"/>
      <c r="E916" s="1"/>
    </row>
    <row r="917" ht="12.75" customHeight="1">
      <c r="B917" s="1"/>
      <c r="C917" s="1"/>
      <c r="D917" s="1"/>
      <c r="E917" s="1"/>
    </row>
    <row r="918" ht="12.75" customHeight="1">
      <c r="B918" s="1"/>
      <c r="C918" s="1"/>
      <c r="D918" s="1"/>
      <c r="E918" s="1"/>
    </row>
    <row r="919" ht="12.75" customHeight="1">
      <c r="B919" s="1"/>
      <c r="C919" s="1"/>
      <c r="D919" s="1"/>
      <c r="E919" s="1"/>
    </row>
    <row r="920" ht="12.75" customHeight="1">
      <c r="B920" s="1"/>
      <c r="C920" s="1"/>
      <c r="D920" s="1"/>
      <c r="E920" s="1"/>
    </row>
    <row r="921" ht="12.75" customHeight="1">
      <c r="B921" s="1"/>
      <c r="C921" s="1"/>
      <c r="D921" s="1"/>
      <c r="E921" s="1"/>
    </row>
    <row r="922" ht="12.75" customHeight="1">
      <c r="B922" s="1"/>
      <c r="C922" s="1"/>
      <c r="D922" s="1"/>
      <c r="E922" s="1"/>
    </row>
    <row r="923" ht="12.75" customHeight="1">
      <c r="B923" s="1"/>
      <c r="C923" s="1"/>
      <c r="D923" s="1"/>
      <c r="E923" s="1"/>
    </row>
    <row r="924" ht="12.75" customHeight="1">
      <c r="B924" s="1"/>
      <c r="C924" s="1"/>
      <c r="D924" s="1"/>
      <c r="E924" s="1"/>
    </row>
    <row r="925" ht="12.75" customHeight="1">
      <c r="B925" s="1"/>
      <c r="C925" s="1"/>
      <c r="D925" s="1"/>
      <c r="E925" s="1"/>
    </row>
    <row r="926" ht="12.75" customHeight="1">
      <c r="B926" s="1"/>
      <c r="C926" s="1"/>
      <c r="D926" s="1"/>
      <c r="E926" s="1"/>
    </row>
    <row r="927" ht="12.75" customHeight="1">
      <c r="B927" s="1"/>
      <c r="C927" s="1"/>
      <c r="D927" s="1"/>
      <c r="E927" s="1"/>
    </row>
    <row r="928" ht="12.75" customHeight="1">
      <c r="B928" s="1"/>
      <c r="C928" s="1"/>
      <c r="D928" s="1"/>
      <c r="E928" s="1"/>
    </row>
    <row r="929" ht="12.75" customHeight="1">
      <c r="B929" s="1"/>
      <c r="C929" s="1"/>
      <c r="D929" s="1"/>
      <c r="E929" s="1"/>
    </row>
    <row r="930" ht="12.75" customHeight="1">
      <c r="B930" s="1"/>
      <c r="C930" s="1"/>
      <c r="D930" s="1"/>
      <c r="E930" s="1"/>
    </row>
    <row r="931" ht="12.75" customHeight="1">
      <c r="B931" s="1"/>
      <c r="C931" s="1"/>
      <c r="D931" s="1"/>
      <c r="E931" s="1"/>
    </row>
    <row r="932" ht="12.75" customHeight="1">
      <c r="B932" s="1"/>
      <c r="C932" s="1"/>
      <c r="D932" s="1"/>
      <c r="E932" s="1"/>
    </row>
    <row r="933" ht="12.75" customHeight="1">
      <c r="B933" s="1"/>
      <c r="C933" s="1"/>
      <c r="D933" s="1"/>
      <c r="E933" s="1"/>
    </row>
    <row r="934" ht="12.75" customHeight="1">
      <c r="B934" s="1"/>
      <c r="C934" s="1"/>
      <c r="D934" s="1"/>
      <c r="E934" s="1"/>
    </row>
    <row r="935" ht="12.75" customHeight="1">
      <c r="B935" s="1"/>
      <c r="C935" s="1"/>
      <c r="D935" s="1"/>
      <c r="E935" s="1"/>
    </row>
    <row r="936" ht="12.75" customHeight="1">
      <c r="B936" s="1"/>
      <c r="C936" s="1"/>
      <c r="D936" s="1"/>
      <c r="E936" s="1"/>
    </row>
    <row r="937" ht="12.75" customHeight="1">
      <c r="B937" s="1"/>
      <c r="C937" s="1"/>
      <c r="D937" s="1"/>
      <c r="E937" s="1"/>
    </row>
    <row r="938" ht="12.75" customHeight="1">
      <c r="B938" s="1"/>
      <c r="C938" s="1"/>
      <c r="D938" s="1"/>
      <c r="E938" s="1"/>
    </row>
    <row r="939" ht="12.75" customHeight="1">
      <c r="B939" s="1"/>
      <c r="C939" s="1"/>
      <c r="D939" s="1"/>
      <c r="E939" s="1"/>
    </row>
    <row r="940" ht="12.75" customHeight="1">
      <c r="B940" s="1"/>
      <c r="C940" s="1"/>
      <c r="D940" s="1"/>
      <c r="E940" s="1"/>
    </row>
    <row r="941" ht="12.75" customHeight="1">
      <c r="B941" s="1"/>
      <c r="C941" s="1"/>
      <c r="D941" s="1"/>
      <c r="E941" s="1"/>
    </row>
    <row r="942" ht="12.75" customHeight="1">
      <c r="B942" s="1"/>
      <c r="C942" s="1"/>
      <c r="D942" s="1"/>
      <c r="E942" s="1"/>
    </row>
    <row r="943" ht="12.75" customHeight="1">
      <c r="B943" s="1"/>
      <c r="C943" s="1"/>
      <c r="D943" s="1"/>
      <c r="E943" s="1"/>
    </row>
    <row r="944" ht="12.75" customHeight="1">
      <c r="B944" s="1"/>
      <c r="C944" s="1"/>
      <c r="D944" s="1"/>
      <c r="E944" s="1"/>
    </row>
    <row r="945" ht="12.75" customHeight="1">
      <c r="B945" s="1"/>
      <c r="C945" s="1"/>
      <c r="D945" s="1"/>
      <c r="E945" s="1"/>
    </row>
    <row r="946" ht="12.75" customHeight="1">
      <c r="B946" s="1"/>
      <c r="C946" s="1"/>
      <c r="D946" s="1"/>
      <c r="E946" s="1"/>
    </row>
    <row r="947" ht="12.75" customHeight="1">
      <c r="B947" s="1"/>
      <c r="C947" s="1"/>
      <c r="D947" s="1"/>
      <c r="E947" s="1"/>
    </row>
    <row r="948" ht="12.75" customHeight="1">
      <c r="B948" s="1"/>
      <c r="C948" s="1"/>
      <c r="D948" s="1"/>
      <c r="E948" s="1"/>
    </row>
    <row r="949" ht="12.75" customHeight="1">
      <c r="B949" s="1"/>
      <c r="C949" s="1"/>
      <c r="D949" s="1"/>
      <c r="E949" s="1"/>
    </row>
    <row r="950" ht="12.75" customHeight="1">
      <c r="B950" s="1"/>
      <c r="C950" s="1"/>
      <c r="D950" s="1"/>
      <c r="E950" s="1"/>
    </row>
    <row r="951" ht="12.75" customHeight="1">
      <c r="B951" s="1"/>
      <c r="C951" s="1"/>
      <c r="D951" s="1"/>
      <c r="E951" s="1"/>
    </row>
    <row r="952" ht="12.75" customHeight="1">
      <c r="B952" s="1"/>
      <c r="C952" s="1"/>
      <c r="D952" s="1"/>
      <c r="E952" s="1"/>
    </row>
    <row r="953" ht="12.75" customHeight="1">
      <c r="B953" s="1"/>
      <c r="C953" s="1"/>
      <c r="D953" s="1"/>
      <c r="E953" s="1"/>
    </row>
    <row r="954" ht="12.75" customHeight="1">
      <c r="B954" s="1"/>
      <c r="C954" s="1"/>
      <c r="D954" s="1"/>
      <c r="E954" s="1"/>
    </row>
    <row r="955" ht="12.75" customHeight="1">
      <c r="B955" s="1"/>
      <c r="C955" s="1"/>
      <c r="D955" s="1"/>
      <c r="E955" s="1"/>
    </row>
    <row r="956" ht="12.75" customHeight="1">
      <c r="B956" s="1"/>
      <c r="C956" s="1"/>
      <c r="D956" s="1"/>
      <c r="E956" s="1"/>
    </row>
    <row r="957" ht="12.75" customHeight="1">
      <c r="B957" s="1"/>
      <c r="C957" s="1"/>
      <c r="D957" s="1"/>
      <c r="E957" s="1"/>
    </row>
    <row r="958" ht="12.75" customHeight="1">
      <c r="B958" s="1"/>
      <c r="C958" s="1"/>
      <c r="D958" s="1"/>
      <c r="E958" s="1"/>
    </row>
    <row r="959" ht="12.75" customHeight="1">
      <c r="B959" s="1"/>
      <c r="C959" s="1"/>
      <c r="D959" s="1"/>
      <c r="E959" s="1"/>
    </row>
    <row r="960" ht="12.75" customHeight="1">
      <c r="B960" s="1"/>
      <c r="C960" s="1"/>
      <c r="D960" s="1"/>
      <c r="E960" s="1"/>
    </row>
    <row r="961" ht="12.75" customHeight="1">
      <c r="B961" s="1"/>
      <c r="C961" s="1"/>
      <c r="D961" s="1"/>
      <c r="E961" s="1"/>
    </row>
    <row r="962" ht="12.75" customHeight="1">
      <c r="B962" s="1"/>
      <c r="C962" s="1"/>
      <c r="D962" s="1"/>
      <c r="E962" s="1"/>
    </row>
    <row r="963" ht="12.75" customHeight="1">
      <c r="B963" s="1"/>
      <c r="C963" s="1"/>
      <c r="D963" s="1"/>
      <c r="E963" s="1"/>
    </row>
    <row r="964" ht="12.75" customHeight="1">
      <c r="B964" s="1"/>
      <c r="C964" s="1"/>
      <c r="D964" s="1"/>
      <c r="E964" s="1"/>
    </row>
    <row r="965" ht="12.75" customHeight="1">
      <c r="B965" s="1"/>
      <c r="C965" s="1"/>
      <c r="D965" s="1"/>
      <c r="E965" s="1"/>
    </row>
    <row r="966" ht="12.75" customHeight="1">
      <c r="B966" s="1"/>
      <c r="C966" s="1"/>
      <c r="D966" s="1"/>
      <c r="E966" s="1"/>
    </row>
    <row r="967" ht="12.75" customHeight="1">
      <c r="B967" s="1"/>
      <c r="C967" s="1"/>
      <c r="D967" s="1"/>
      <c r="E967" s="1"/>
    </row>
    <row r="968" ht="12.75" customHeight="1">
      <c r="B968" s="1"/>
      <c r="C968" s="1"/>
      <c r="D968" s="1"/>
      <c r="E968" s="1"/>
    </row>
    <row r="969" ht="12.75" customHeight="1">
      <c r="B969" s="1"/>
      <c r="C969" s="1"/>
      <c r="D969" s="1"/>
      <c r="E969" s="1"/>
    </row>
    <row r="970" ht="12.75" customHeight="1">
      <c r="B970" s="1"/>
      <c r="C970" s="1"/>
      <c r="D970" s="1"/>
      <c r="E970" s="1"/>
    </row>
    <row r="971" ht="12.75" customHeight="1">
      <c r="B971" s="1"/>
      <c r="C971" s="1"/>
      <c r="D971" s="1"/>
      <c r="E971" s="1"/>
    </row>
    <row r="972" ht="12.75" customHeight="1">
      <c r="B972" s="1"/>
      <c r="C972" s="1"/>
      <c r="D972" s="1"/>
      <c r="E972" s="1"/>
    </row>
    <row r="973" ht="12.75" customHeight="1">
      <c r="B973" s="1"/>
      <c r="C973" s="1"/>
      <c r="D973" s="1"/>
      <c r="E973" s="1"/>
    </row>
    <row r="974" ht="12.75" customHeight="1">
      <c r="B974" s="1"/>
      <c r="C974" s="1"/>
      <c r="D974" s="1"/>
      <c r="E974" s="1"/>
    </row>
    <row r="975" ht="12.75" customHeight="1">
      <c r="B975" s="1"/>
      <c r="C975" s="1"/>
      <c r="D975" s="1"/>
      <c r="E975" s="1"/>
    </row>
    <row r="976" ht="12.75" customHeight="1">
      <c r="B976" s="1"/>
      <c r="C976" s="1"/>
      <c r="D976" s="1"/>
      <c r="E976" s="1"/>
    </row>
    <row r="977" ht="12.75" customHeight="1">
      <c r="B977" s="1"/>
      <c r="C977" s="1"/>
      <c r="D977" s="1"/>
      <c r="E977" s="1"/>
    </row>
    <row r="978" ht="12.75" customHeight="1">
      <c r="B978" s="1"/>
      <c r="C978" s="1"/>
      <c r="D978" s="1"/>
      <c r="E978" s="1"/>
    </row>
    <row r="979" ht="12.75" customHeight="1">
      <c r="B979" s="1"/>
      <c r="C979" s="1"/>
      <c r="D979" s="1"/>
      <c r="E979" s="1"/>
    </row>
    <row r="980" ht="12.75" customHeight="1">
      <c r="B980" s="1"/>
      <c r="C980" s="1"/>
      <c r="D980" s="1"/>
      <c r="E980" s="1"/>
    </row>
    <row r="981" ht="12.75" customHeight="1">
      <c r="B981" s="1"/>
      <c r="C981" s="1"/>
      <c r="D981" s="1"/>
      <c r="E981" s="1"/>
    </row>
    <row r="982" ht="12.75" customHeight="1">
      <c r="B982" s="1"/>
      <c r="C982" s="1"/>
      <c r="D982" s="1"/>
      <c r="E982" s="1"/>
    </row>
    <row r="983" ht="12.75" customHeight="1">
      <c r="B983" s="1"/>
      <c r="C983" s="1"/>
      <c r="D983" s="1"/>
      <c r="E983" s="1"/>
    </row>
    <row r="984" ht="12.75" customHeight="1">
      <c r="B984" s="1"/>
      <c r="C984" s="1"/>
      <c r="D984" s="1"/>
      <c r="E984" s="1"/>
    </row>
    <row r="985" ht="12.75" customHeight="1">
      <c r="B985" s="1"/>
      <c r="C985" s="1"/>
      <c r="D985" s="1"/>
      <c r="E985" s="1"/>
    </row>
    <row r="986" ht="12.75" customHeight="1">
      <c r="B986" s="1"/>
      <c r="C986" s="1"/>
      <c r="D986" s="1"/>
      <c r="E986" s="1"/>
    </row>
    <row r="987" ht="12.75" customHeight="1">
      <c r="B987" s="1"/>
      <c r="C987" s="1"/>
      <c r="D987" s="1"/>
      <c r="E987" s="1"/>
    </row>
    <row r="988" ht="12.75" customHeight="1">
      <c r="B988" s="1"/>
      <c r="C988" s="1"/>
      <c r="D988" s="1"/>
      <c r="E988" s="1"/>
    </row>
    <row r="989" ht="12.75" customHeight="1">
      <c r="B989" s="1"/>
      <c r="C989" s="1"/>
      <c r="D989" s="1"/>
      <c r="E989" s="1"/>
    </row>
    <row r="990" ht="12.75" customHeight="1">
      <c r="B990" s="1"/>
      <c r="C990" s="1"/>
      <c r="D990" s="1"/>
      <c r="E990" s="1"/>
    </row>
    <row r="991" ht="12.75" customHeight="1">
      <c r="B991" s="1"/>
      <c r="C991" s="1"/>
      <c r="D991" s="1"/>
      <c r="E991" s="1"/>
    </row>
    <row r="992" ht="12.75" customHeight="1">
      <c r="B992" s="1"/>
      <c r="C992" s="1"/>
      <c r="D992" s="1"/>
      <c r="E992" s="1"/>
    </row>
    <row r="993" ht="12.75" customHeight="1">
      <c r="B993" s="1"/>
      <c r="C993" s="1"/>
      <c r="D993" s="1"/>
      <c r="E993" s="1"/>
    </row>
    <row r="994" ht="12.75" customHeight="1">
      <c r="B994" s="1"/>
      <c r="C994" s="1"/>
      <c r="D994" s="1"/>
      <c r="E994" s="1"/>
    </row>
    <row r="995" ht="12.75" customHeight="1">
      <c r="B995" s="1"/>
      <c r="C995" s="1"/>
      <c r="D995" s="1"/>
      <c r="E995" s="1"/>
    </row>
    <row r="996" ht="12.75" customHeight="1">
      <c r="B996" s="1"/>
      <c r="C996" s="1"/>
      <c r="D996" s="1"/>
      <c r="E996" s="1"/>
    </row>
    <row r="997" ht="12.75" customHeight="1">
      <c r="B997" s="1"/>
      <c r="C997" s="1"/>
      <c r="D997" s="1"/>
      <c r="E997" s="1"/>
    </row>
    <row r="998" ht="12.75" customHeight="1">
      <c r="B998" s="1"/>
      <c r="C998" s="1"/>
      <c r="D998" s="1"/>
      <c r="E998" s="1"/>
    </row>
    <row r="999" ht="12.75" customHeight="1">
      <c r="B999" s="1"/>
      <c r="C999" s="1"/>
      <c r="D999" s="1"/>
      <c r="E999" s="1"/>
    </row>
    <row r="1000" ht="12.75" customHeight="1">
      <c r="B1000" s="1"/>
      <c r="C1000" s="1"/>
      <c r="D1000" s="1"/>
      <c r="E1000" s="1"/>
    </row>
  </sheetData>
  <printOptions/>
  <pageMargins bottom="1.05277777777778" footer="0.0" header="0.0" left="0.7875" right="0.7875" top="1.05277777777778"/>
  <pageSetup paperSize="9" orientation="portrait"/>
  <headerFooter>
    <oddHeader>&amp;C&amp;A</oddHeader>
    <oddFooter>&amp;CPágina &amp;P</oddFooter>
  </headerFooter>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2.88"/>
    <col customWidth="1" min="3" max="3" width="10.25"/>
    <col customWidth="1" min="4" max="4" width="44.75"/>
    <col customWidth="1" min="5" max="6" width="12.63"/>
  </cols>
  <sheetData>
    <row r="1" ht="12.75" customHeight="1">
      <c r="A1" s="1"/>
      <c r="B1" s="1"/>
    </row>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c r="A437" s="5"/>
      <c r="B437" s="5"/>
      <c r="C437" s="5"/>
      <c r="D437" s="1"/>
    </row>
    <row r="438" ht="12.75" customHeight="1">
      <c r="A438" s="5"/>
      <c r="B438" s="5"/>
      <c r="C438" s="5"/>
      <c r="D438" s="1"/>
    </row>
    <row r="439" ht="12.75" customHeight="1">
      <c r="A439" s="5"/>
      <c r="B439" s="5"/>
      <c r="C439" s="5"/>
      <c r="D439" s="1"/>
    </row>
    <row r="440" ht="12.75" customHeight="1">
      <c r="A440" s="5"/>
      <c r="B440" s="5"/>
      <c r="C440" s="5"/>
      <c r="D440" s="1"/>
    </row>
    <row r="441" ht="12.75" customHeight="1">
      <c r="A441" s="5"/>
      <c r="B441" s="5"/>
      <c r="C441" s="5"/>
      <c r="D441" s="1"/>
    </row>
    <row r="442" ht="12.75" customHeight="1">
      <c r="A442" s="5"/>
      <c r="B442" s="5"/>
      <c r="C442" s="5"/>
      <c r="D442" s="1"/>
    </row>
    <row r="443" ht="12.75" customHeight="1">
      <c r="A443" s="5"/>
      <c r="B443" s="5"/>
      <c r="C443" s="5"/>
      <c r="D443" s="1"/>
    </row>
    <row r="444" ht="12.75" customHeight="1">
      <c r="A444" s="5"/>
      <c r="B444" s="5"/>
      <c r="C444" s="5"/>
      <c r="D444" s="1"/>
    </row>
    <row r="445" ht="12.75" customHeight="1">
      <c r="A445" s="5"/>
      <c r="B445" s="5"/>
      <c r="C445" s="5"/>
      <c r="D445" s="1"/>
    </row>
    <row r="446" ht="12.75" customHeight="1">
      <c r="A446" s="5"/>
      <c r="B446" s="5"/>
      <c r="C446" s="5"/>
      <c r="D446" s="1"/>
    </row>
    <row r="447" ht="12.75" customHeight="1">
      <c r="A447" s="5"/>
      <c r="B447" s="5"/>
      <c r="C447" s="5"/>
      <c r="D447" s="1"/>
    </row>
    <row r="448" ht="12.75" customHeight="1">
      <c r="A448" s="5"/>
      <c r="B448" s="5"/>
      <c r="C448" s="5"/>
      <c r="D448" s="1"/>
    </row>
    <row r="449" ht="12.75" customHeight="1">
      <c r="A449" s="5"/>
      <c r="B449" s="5"/>
      <c r="C449" s="5"/>
      <c r="D449" s="1"/>
    </row>
    <row r="450" ht="12.75" customHeight="1">
      <c r="A450" s="5"/>
      <c r="B450" s="5"/>
      <c r="C450" s="5"/>
      <c r="D450" s="1"/>
    </row>
    <row r="451" ht="12.75" customHeight="1">
      <c r="A451" s="5"/>
      <c r="B451" s="5"/>
      <c r="C451" s="5"/>
      <c r="D451" s="1"/>
    </row>
    <row r="452" ht="12.75" customHeight="1">
      <c r="A452" s="5"/>
      <c r="B452" s="5"/>
      <c r="C452" s="5"/>
      <c r="D452" s="1"/>
    </row>
    <row r="453" ht="12.75" customHeight="1">
      <c r="A453" s="5"/>
      <c r="B453" s="5"/>
      <c r="C453" s="5"/>
      <c r="D453" s="1"/>
    </row>
    <row r="454" ht="12.75" customHeight="1">
      <c r="A454" s="5"/>
      <c r="B454" s="5"/>
      <c r="C454" s="5"/>
      <c r="D454" s="1"/>
    </row>
    <row r="455" ht="12.75" customHeight="1">
      <c r="A455" s="5"/>
      <c r="B455" s="5"/>
      <c r="C455" s="5"/>
      <c r="D455" s="1"/>
    </row>
    <row r="456" ht="12.75" customHeight="1">
      <c r="A456" s="5"/>
      <c r="B456" s="5"/>
      <c r="C456" s="5"/>
      <c r="D456" s="1"/>
    </row>
    <row r="457" ht="12.75" customHeight="1">
      <c r="A457" s="5"/>
      <c r="B457" s="5"/>
      <c r="C457" s="5"/>
      <c r="D457" s="1"/>
    </row>
    <row r="458" ht="12.75" customHeight="1">
      <c r="A458" s="5"/>
      <c r="B458" s="5"/>
      <c r="C458" s="5"/>
      <c r="D458" s="1"/>
    </row>
    <row r="459" ht="12.75" customHeight="1">
      <c r="A459" s="5"/>
      <c r="B459" s="5"/>
      <c r="C459" s="5"/>
      <c r="D459" s="1"/>
    </row>
    <row r="460" ht="12.75" customHeight="1">
      <c r="A460" s="5"/>
      <c r="B460" s="5"/>
      <c r="C460" s="5"/>
      <c r="D460" s="1"/>
    </row>
    <row r="461" ht="12.75" customHeight="1">
      <c r="A461" s="5"/>
      <c r="B461" s="5"/>
      <c r="C461" s="5"/>
      <c r="D461" s="1"/>
    </row>
    <row r="462" ht="12.75" customHeight="1">
      <c r="A462" s="5"/>
      <c r="B462" s="5"/>
      <c r="C462" s="5"/>
      <c r="D462" s="1"/>
    </row>
    <row r="463" ht="12.75" customHeight="1">
      <c r="A463" s="5"/>
      <c r="B463" s="5"/>
      <c r="C463" s="5"/>
      <c r="D463" s="1"/>
    </row>
    <row r="464" ht="12.75" customHeight="1">
      <c r="A464" s="5"/>
      <c r="B464" s="5"/>
      <c r="C464" s="5"/>
      <c r="D464" s="1"/>
    </row>
    <row r="465" ht="12.75" customHeight="1">
      <c r="A465" s="5"/>
      <c r="B465" s="5"/>
      <c r="C465" s="5"/>
      <c r="D465" s="1"/>
    </row>
    <row r="466" ht="12.75" customHeight="1">
      <c r="A466" s="5"/>
      <c r="B466" s="5"/>
      <c r="C466" s="5"/>
      <c r="D466" s="1"/>
    </row>
    <row r="467" ht="12.75" customHeight="1">
      <c r="A467" s="5"/>
      <c r="B467" s="5"/>
      <c r="C467" s="5"/>
      <c r="D467" s="1"/>
    </row>
    <row r="468" ht="12.75" customHeight="1">
      <c r="A468" s="5"/>
      <c r="B468" s="5"/>
      <c r="C468" s="5"/>
      <c r="D468" s="1"/>
    </row>
    <row r="469" ht="12.75" customHeight="1">
      <c r="A469" s="5"/>
      <c r="B469" s="5"/>
      <c r="C469" s="5"/>
      <c r="D469" s="1"/>
    </row>
    <row r="470" ht="12.75" customHeight="1">
      <c r="A470" s="5"/>
      <c r="B470" s="5"/>
      <c r="C470" s="5"/>
      <c r="D470" s="1"/>
    </row>
    <row r="471" ht="12.75" customHeight="1">
      <c r="A471" s="5"/>
      <c r="B471" s="5"/>
      <c r="C471" s="5"/>
      <c r="D471" s="1"/>
    </row>
    <row r="472" ht="12.75" customHeight="1">
      <c r="A472" s="5"/>
      <c r="B472" s="5"/>
      <c r="C472" s="5"/>
      <c r="D472" s="1"/>
    </row>
    <row r="473" ht="12.75" customHeight="1">
      <c r="A473" s="5"/>
      <c r="B473" s="5"/>
      <c r="C473" s="5"/>
      <c r="D473" s="1"/>
    </row>
    <row r="474" ht="12.75" customHeight="1">
      <c r="A474" s="5"/>
      <c r="B474" s="5"/>
      <c r="C474" s="5"/>
      <c r="D474" s="1"/>
    </row>
    <row r="475" ht="12.75" customHeight="1">
      <c r="A475" s="5"/>
      <c r="B475" s="5"/>
      <c r="C475" s="5"/>
      <c r="D475" s="1"/>
    </row>
    <row r="476" ht="12.75" customHeight="1">
      <c r="A476" s="5"/>
      <c r="B476" s="5"/>
      <c r="C476" s="5"/>
      <c r="D476" s="1"/>
    </row>
    <row r="477" ht="12.75" customHeight="1">
      <c r="A477" s="5"/>
      <c r="B477" s="5"/>
      <c r="C477" s="5"/>
      <c r="D477" s="1"/>
    </row>
    <row r="478" ht="12.75" customHeight="1">
      <c r="A478" s="5"/>
      <c r="B478" s="5"/>
      <c r="C478" s="5"/>
      <c r="D478" s="1"/>
    </row>
    <row r="479" ht="12.75" customHeight="1">
      <c r="A479" s="5"/>
      <c r="B479" s="5"/>
      <c r="C479" s="5"/>
      <c r="D479" s="1"/>
    </row>
    <row r="480" ht="12.75" customHeight="1">
      <c r="A480" s="5"/>
      <c r="B480" s="5"/>
      <c r="C480" s="5"/>
      <c r="D480" s="1"/>
    </row>
    <row r="481" ht="12.75" customHeight="1">
      <c r="A481" s="5"/>
      <c r="B481" s="5"/>
      <c r="C481" s="5"/>
      <c r="D481" s="1"/>
    </row>
    <row r="482" ht="12.75" customHeight="1">
      <c r="A482" s="5"/>
      <c r="B482" s="5"/>
      <c r="C482" s="5"/>
      <c r="D482" s="1"/>
    </row>
    <row r="483" ht="12.75" customHeight="1">
      <c r="A483" s="5"/>
      <c r="B483" s="5"/>
      <c r="C483" s="5"/>
      <c r="D483" s="1"/>
    </row>
    <row r="484" ht="12.75" customHeight="1">
      <c r="A484" s="5"/>
      <c r="B484" s="5"/>
      <c r="C484" s="5"/>
      <c r="D484" s="1"/>
    </row>
    <row r="485" ht="12.75" customHeight="1">
      <c r="A485" s="5"/>
      <c r="B485" s="5"/>
      <c r="C485" s="5"/>
      <c r="D485" s="1"/>
    </row>
    <row r="486" ht="12.75" customHeight="1">
      <c r="A486" s="5"/>
      <c r="B486" s="5"/>
      <c r="C486" s="5"/>
      <c r="D486" s="1"/>
    </row>
    <row r="487" ht="12.75" customHeight="1">
      <c r="A487" s="5"/>
      <c r="B487" s="5"/>
      <c r="C487" s="5"/>
      <c r="D487" s="1"/>
    </row>
    <row r="488" ht="12.75" customHeight="1">
      <c r="A488" s="5"/>
      <c r="B488" s="5"/>
      <c r="C488" s="5"/>
      <c r="D488" s="1"/>
    </row>
    <row r="489" ht="12.75" customHeight="1">
      <c r="A489" s="5"/>
      <c r="B489" s="5"/>
      <c r="C489" s="5"/>
      <c r="D489" s="1"/>
    </row>
    <row r="490" ht="12.75" customHeight="1">
      <c r="A490" s="5"/>
      <c r="B490" s="5"/>
      <c r="C490" s="5"/>
      <c r="D490" s="1"/>
    </row>
    <row r="491" ht="12.75" customHeight="1">
      <c r="A491" s="5"/>
      <c r="B491" s="5"/>
      <c r="C491" s="5"/>
      <c r="D491" s="1"/>
    </row>
    <row r="492" ht="12.75" customHeight="1">
      <c r="A492" s="5"/>
      <c r="B492" s="5"/>
      <c r="C492" s="5"/>
      <c r="D492" s="1"/>
    </row>
    <row r="493" ht="12.75" customHeight="1">
      <c r="A493" s="5"/>
      <c r="B493" s="5"/>
      <c r="C493" s="5"/>
      <c r="D493" s="1"/>
    </row>
    <row r="494" ht="12.75" customHeight="1">
      <c r="A494" s="5"/>
      <c r="B494" s="5"/>
      <c r="C494" s="5"/>
      <c r="D494" s="1"/>
    </row>
    <row r="495" ht="12.75" customHeight="1">
      <c r="A495" s="5"/>
      <c r="B495" s="5"/>
      <c r="C495" s="5"/>
      <c r="D495" s="1"/>
    </row>
    <row r="496" ht="12.75" customHeight="1">
      <c r="A496" s="5"/>
      <c r="B496" s="5"/>
      <c r="C496" s="5"/>
      <c r="D496" s="1"/>
    </row>
    <row r="497" ht="12.75" customHeight="1">
      <c r="A497" s="5"/>
      <c r="B497" s="5"/>
      <c r="C497" s="5"/>
      <c r="D497" s="1"/>
    </row>
    <row r="498" ht="12.75" customHeight="1">
      <c r="A498" s="5"/>
      <c r="B498" s="5"/>
      <c r="C498" s="5"/>
      <c r="D498" s="1"/>
    </row>
    <row r="499" ht="12.75" customHeight="1">
      <c r="A499" s="5"/>
      <c r="B499" s="5"/>
      <c r="C499" s="5"/>
      <c r="D499" s="1"/>
    </row>
    <row r="500" ht="12.75" customHeight="1">
      <c r="A500" s="5"/>
      <c r="B500" s="5"/>
      <c r="C500" s="5"/>
      <c r="D500" s="1"/>
    </row>
    <row r="501" ht="12.75" customHeight="1">
      <c r="A501" s="5"/>
      <c r="B501" s="5"/>
      <c r="C501" s="5"/>
      <c r="D501" s="1"/>
    </row>
    <row r="502" ht="12.75" customHeight="1">
      <c r="A502" s="5"/>
      <c r="B502" s="5"/>
      <c r="C502" s="5"/>
      <c r="D502" s="1"/>
    </row>
    <row r="503" ht="12.75" customHeight="1">
      <c r="A503" s="5"/>
      <c r="B503" s="5"/>
      <c r="C503" s="5"/>
      <c r="D503" s="1"/>
    </row>
    <row r="504" ht="12.75" customHeight="1">
      <c r="A504" s="5"/>
      <c r="B504" s="5"/>
      <c r="C504" s="5"/>
      <c r="D504" s="1"/>
    </row>
    <row r="505" ht="12.75" customHeight="1">
      <c r="A505" s="5"/>
      <c r="B505" s="5"/>
      <c r="C505" s="5"/>
      <c r="D505" s="1"/>
    </row>
    <row r="506" ht="12.75" customHeight="1">
      <c r="A506" s="5"/>
      <c r="B506" s="5"/>
      <c r="C506" s="5"/>
      <c r="D506" s="1"/>
    </row>
    <row r="507" ht="12.75" customHeight="1">
      <c r="A507" s="5"/>
      <c r="B507" s="5"/>
      <c r="C507" s="5"/>
      <c r="D507" s="1"/>
    </row>
    <row r="508" ht="12.75" customHeight="1">
      <c r="A508" s="5"/>
      <c r="B508" s="5"/>
      <c r="C508" s="5"/>
      <c r="D508" s="1"/>
    </row>
    <row r="509" ht="12.75" customHeight="1">
      <c r="A509" s="5"/>
      <c r="B509" s="5"/>
      <c r="C509" s="5"/>
      <c r="D509" s="1"/>
    </row>
    <row r="510" ht="12.75" customHeight="1">
      <c r="A510" s="5"/>
      <c r="B510" s="5"/>
      <c r="C510" s="5"/>
      <c r="D510" s="1"/>
    </row>
    <row r="511" ht="12.75" customHeight="1">
      <c r="A511" s="5"/>
      <c r="B511" s="5"/>
      <c r="C511" s="5"/>
      <c r="D511" s="1"/>
    </row>
    <row r="512" ht="12.75" customHeight="1">
      <c r="A512" s="5"/>
      <c r="B512" s="5"/>
      <c r="C512" s="5"/>
      <c r="D512" s="1"/>
    </row>
    <row r="513" ht="12.75" customHeight="1">
      <c r="A513" s="5"/>
      <c r="B513" s="5"/>
      <c r="C513" s="5"/>
      <c r="D513" s="1"/>
    </row>
    <row r="514" ht="12.75" customHeight="1">
      <c r="A514" s="5"/>
      <c r="B514" s="5"/>
      <c r="C514" s="5"/>
      <c r="D514" s="1"/>
    </row>
    <row r="515" ht="12.75" customHeight="1">
      <c r="A515" s="5"/>
      <c r="B515" s="5"/>
      <c r="C515" s="5"/>
      <c r="D515" s="1"/>
    </row>
    <row r="516" ht="12.75" customHeight="1">
      <c r="A516" s="5"/>
      <c r="B516" s="5"/>
      <c r="C516" s="5"/>
      <c r="D516" s="1"/>
    </row>
    <row r="517" ht="12.75" customHeight="1">
      <c r="A517" s="5"/>
      <c r="B517" s="5"/>
      <c r="C517" s="5"/>
      <c r="D517" s="1"/>
    </row>
    <row r="518" ht="12.75" customHeight="1">
      <c r="A518" s="5"/>
      <c r="B518" s="5"/>
      <c r="C518" s="5"/>
      <c r="D518" s="1"/>
    </row>
    <row r="519" ht="12.75" customHeight="1">
      <c r="A519" s="5"/>
      <c r="B519" s="5"/>
      <c r="C519" s="5"/>
      <c r="D519" s="1"/>
    </row>
    <row r="520" ht="12.75" customHeight="1">
      <c r="A520" s="5"/>
      <c r="B520" s="5"/>
      <c r="C520" s="5"/>
      <c r="D520" s="1"/>
    </row>
    <row r="521" ht="12.75" customHeight="1">
      <c r="A521" s="5"/>
      <c r="B521" s="5"/>
      <c r="C521" s="5"/>
      <c r="D521" s="1"/>
    </row>
    <row r="522" ht="12.75" customHeight="1">
      <c r="A522" s="5"/>
      <c r="B522" s="5"/>
      <c r="C522" s="5"/>
      <c r="D522" s="1"/>
    </row>
    <row r="523" ht="12.75" customHeight="1">
      <c r="A523" s="5"/>
      <c r="B523" s="5"/>
      <c r="C523" s="5"/>
      <c r="D523" s="1"/>
    </row>
    <row r="524" ht="12.75" customHeight="1">
      <c r="A524" s="5"/>
      <c r="B524" s="5"/>
      <c r="C524" s="5"/>
      <c r="D524" s="1"/>
    </row>
    <row r="525" ht="12.75" customHeight="1">
      <c r="A525" s="5"/>
      <c r="B525" s="5"/>
      <c r="C525" s="5"/>
      <c r="D525" s="1"/>
    </row>
    <row r="526" ht="12.75" customHeight="1">
      <c r="A526" s="5"/>
      <c r="B526" s="5"/>
      <c r="C526" s="5"/>
      <c r="D526" s="1"/>
    </row>
    <row r="527" ht="12.75" customHeight="1">
      <c r="A527" s="5"/>
      <c r="B527" s="5"/>
      <c r="C527" s="5"/>
      <c r="D527" s="1"/>
    </row>
    <row r="528" ht="12.75" customHeight="1">
      <c r="A528" s="5"/>
      <c r="B528" s="5"/>
      <c r="C528" s="5"/>
      <c r="D528" s="1"/>
    </row>
    <row r="529" ht="12.75" customHeight="1">
      <c r="A529" s="5"/>
      <c r="B529" s="5"/>
      <c r="C529" s="5"/>
      <c r="D529" s="1"/>
    </row>
    <row r="530" ht="12.75" customHeight="1">
      <c r="A530" s="5"/>
      <c r="B530" s="5"/>
      <c r="C530" s="5"/>
      <c r="D530" s="1"/>
    </row>
    <row r="531" ht="12.75" customHeight="1">
      <c r="A531" s="5"/>
      <c r="B531" s="5"/>
      <c r="C531" s="5"/>
      <c r="D531" s="1"/>
    </row>
    <row r="532" ht="12.75" customHeight="1">
      <c r="A532" s="5"/>
      <c r="B532" s="5"/>
      <c r="C532" s="5"/>
      <c r="D532" s="1"/>
    </row>
    <row r="533" ht="12.75" customHeight="1">
      <c r="A533" s="5"/>
      <c r="B533" s="5"/>
      <c r="C533" s="5"/>
      <c r="D533" s="1"/>
    </row>
    <row r="534" ht="12.75" customHeight="1">
      <c r="A534" s="5"/>
      <c r="B534" s="5"/>
      <c r="C534" s="5"/>
      <c r="D534" s="1"/>
    </row>
    <row r="535" ht="12.75" customHeight="1">
      <c r="A535" s="5"/>
      <c r="B535" s="5"/>
      <c r="C535" s="5"/>
      <c r="D535" s="1"/>
    </row>
    <row r="536" ht="12.75" customHeight="1">
      <c r="A536" s="5"/>
      <c r="B536" s="5"/>
      <c r="C536" s="5"/>
      <c r="D536" s="1"/>
    </row>
    <row r="537" ht="12.75" customHeight="1">
      <c r="A537" s="5"/>
      <c r="B537" s="5"/>
      <c r="C537" s="5"/>
      <c r="D537" s="1"/>
    </row>
    <row r="538" ht="12.75" customHeight="1">
      <c r="A538" s="5"/>
      <c r="B538" s="5"/>
      <c r="C538" s="5"/>
      <c r="D538" s="1"/>
    </row>
    <row r="539" ht="12.75" customHeight="1">
      <c r="A539" s="5"/>
      <c r="B539" s="5"/>
      <c r="C539" s="5"/>
      <c r="D539" s="1"/>
    </row>
    <row r="540" ht="12.75" customHeight="1">
      <c r="A540" s="5"/>
      <c r="B540" s="5"/>
      <c r="C540" s="5"/>
      <c r="D540" s="1"/>
    </row>
    <row r="541" ht="12.75" customHeight="1">
      <c r="A541" s="5"/>
      <c r="B541" s="5"/>
      <c r="C541" s="5"/>
      <c r="D541" s="1"/>
    </row>
    <row r="542" ht="12.75" customHeight="1">
      <c r="A542" s="5"/>
      <c r="B542" s="5"/>
      <c r="C542" s="5"/>
      <c r="D542" s="1"/>
    </row>
    <row r="543" ht="12.75" customHeight="1">
      <c r="A543" s="5"/>
      <c r="B543" s="5"/>
      <c r="C543" s="5"/>
      <c r="D543" s="1"/>
    </row>
    <row r="544" ht="12.75" customHeight="1">
      <c r="A544" s="5"/>
      <c r="B544" s="5"/>
      <c r="C544" s="5"/>
      <c r="D544" s="1"/>
    </row>
    <row r="545" ht="12.75" customHeight="1">
      <c r="A545" s="5"/>
      <c r="B545" s="5"/>
      <c r="C545" s="5"/>
      <c r="D545" s="1"/>
    </row>
    <row r="546" ht="12.75" customHeight="1">
      <c r="A546" s="5"/>
      <c r="B546" s="5"/>
      <c r="C546" s="5"/>
      <c r="D546" s="1"/>
    </row>
    <row r="547" ht="12.75" customHeight="1">
      <c r="A547" s="5"/>
      <c r="B547" s="5"/>
      <c r="C547" s="5"/>
      <c r="D547" s="1"/>
    </row>
    <row r="548" ht="12.75" customHeight="1">
      <c r="A548" s="5"/>
      <c r="B548" s="5"/>
      <c r="C548" s="5"/>
      <c r="D548" s="1"/>
    </row>
    <row r="549" ht="12.75" customHeight="1">
      <c r="A549" s="5"/>
      <c r="B549" s="5"/>
      <c r="C549" s="5"/>
      <c r="D549" s="1"/>
    </row>
    <row r="550" ht="12.75" customHeight="1">
      <c r="A550" s="5"/>
      <c r="B550" s="5"/>
      <c r="C550" s="5"/>
      <c r="D550" s="1"/>
    </row>
    <row r="551" ht="12.75" customHeight="1">
      <c r="A551" s="5"/>
      <c r="B551" s="5"/>
      <c r="C551" s="5"/>
      <c r="D551" s="1"/>
    </row>
    <row r="552" ht="12.75" customHeight="1">
      <c r="A552" s="5"/>
      <c r="B552" s="5"/>
      <c r="C552" s="5"/>
      <c r="D552" s="1"/>
    </row>
    <row r="553" ht="12.75" customHeight="1">
      <c r="A553" s="5"/>
      <c r="B553" s="5"/>
      <c r="C553" s="5"/>
      <c r="D553" s="1"/>
    </row>
    <row r="554" ht="12.75" customHeight="1">
      <c r="A554" s="5"/>
      <c r="B554" s="5"/>
      <c r="C554" s="5"/>
      <c r="D554" s="1"/>
    </row>
    <row r="555" ht="12.75" customHeight="1">
      <c r="A555" s="5"/>
      <c r="B555" s="5"/>
      <c r="C555" s="5"/>
      <c r="D555" s="1"/>
    </row>
    <row r="556" ht="12.75" customHeight="1">
      <c r="A556" s="5"/>
      <c r="B556" s="5"/>
      <c r="C556" s="5"/>
      <c r="D556" s="1"/>
    </row>
    <row r="557" ht="12.75" customHeight="1">
      <c r="A557" s="5"/>
      <c r="B557" s="5"/>
      <c r="C557" s="5"/>
      <c r="D557" s="1"/>
    </row>
    <row r="558" ht="12.75" customHeight="1">
      <c r="A558" s="5"/>
      <c r="B558" s="5"/>
      <c r="C558" s="5"/>
      <c r="D558" s="1"/>
    </row>
    <row r="559" ht="12.75" customHeight="1">
      <c r="A559" s="5"/>
      <c r="B559" s="5"/>
      <c r="C559" s="5"/>
      <c r="D559" s="1"/>
    </row>
    <row r="560" ht="12.75" customHeight="1">
      <c r="A560" s="5"/>
      <c r="B560" s="5"/>
      <c r="C560" s="5"/>
      <c r="D560" s="1"/>
    </row>
    <row r="561" ht="12.75" customHeight="1">
      <c r="A561" s="5"/>
      <c r="B561" s="5"/>
      <c r="C561" s="5"/>
      <c r="D561" s="1"/>
    </row>
    <row r="562" ht="12.75" customHeight="1">
      <c r="A562" s="5"/>
      <c r="B562" s="5"/>
      <c r="C562" s="5"/>
      <c r="D562" s="1"/>
    </row>
    <row r="563" ht="12.75" customHeight="1">
      <c r="A563" s="5"/>
      <c r="B563" s="5"/>
      <c r="C563" s="5"/>
      <c r="D563" s="1"/>
    </row>
    <row r="564" ht="12.75" customHeight="1">
      <c r="A564" s="5"/>
      <c r="B564" s="5"/>
      <c r="C564" s="5"/>
      <c r="D564" s="1"/>
    </row>
    <row r="565" ht="12.75" customHeight="1">
      <c r="A565" s="5"/>
      <c r="B565" s="5"/>
      <c r="C565" s="5"/>
      <c r="D565" s="1"/>
    </row>
    <row r="566" ht="12.75" customHeight="1">
      <c r="A566" s="5"/>
      <c r="B566" s="5"/>
      <c r="C566" s="5"/>
      <c r="D566" s="1"/>
    </row>
    <row r="567" ht="12.75" customHeight="1">
      <c r="A567" s="5"/>
      <c r="B567" s="5"/>
      <c r="C567" s="5"/>
      <c r="D567" s="1"/>
    </row>
    <row r="568" ht="12.75" customHeight="1">
      <c r="A568" s="5"/>
      <c r="B568" s="5"/>
      <c r="C568" s="5"/>
      <c r="D568" s="1"/>
    </row>
    <row r="569" ht="12.75" customHeight="1">
      <c r="A569" s="5"/>
      <c r="B569" s="5"/>
      <c r="C569" s="5"/>
      <c r="D569" s="1"/>
    </row>
    <row r="570" ht="12.75" customHeight="1">
      <c r="A570" s="5"/>
      <c r="B570" s="5"/>
      <c r="C570" s="5"/>
      <c r="D570" s="1"/>
    </row>
    <row r="571" ht="12.75" customHeight="1">
      <c r="A571" s="5"/>
      <c r="B571" s="5"/>
      <c r="C571" s="5"/>
      <c r="D571" s="1"/>
    </row>
    <row r="572" ht="12.75" customHeight="1">
      <c r="A572" s="5"/>
      <c r="B572" s="5"/>
      <c r="C572" s="5"/>
      <c r="D572" s="1"/>
    </row>
    <row r="573" ht="12.75" customHeight="1">
      <c r="A573" s="5"/>
      <c r="B573" s="5"/>
      <c r="C573" s="5"/>
      <c r="D573" s="1"/>
    </row>
    <row r="574" ht="12.75" customHeight="1">
      <c r="A574" s="5"/>
      <c r="B574" s="5"/>
      <c r="C574" s="5"/>
      <c r="D574" s="1"/>
    </row>
    <row r="575" ht="12.75" customHeight="1">
      <c r="A575" s="5"/>
      <c r="B575" s="5"/>
      <c r="C575" s="5"/>
      <c r="D575" s="1"/>
    </row>
    <row r="576" ht="12.75" customHeight="1">
      <c r="A576" s="5"/>
      <c r="B576" s="5"/>
      <c r="C576" s="5"/>
      <c r="D576" s="1"/>
    </row>
    <row r="577" ht="12.75" customHeight="1">
      <c r="A577" s="5"/>
      <c r="B577" s="5"/>
      <c r="C577" s="5"/>
      <c r="D577" s="1"/>
    </row>
    <row r="578" ht="12.75" customHeight="1">
      <c r="A578" s="5"/>
      <c r="B578" s="5"/>
      <c r="C578" s="5"/>
      <c r="D578" s="1"/>
    </row>
    <row r="579" ht="12.75" customHeight="1">
      <c r="A579" s="5"/>
      <c r="B579" s="5"/>
      <c r="C579" s="5"/>
      <c r="D579" s="1"/>
    </row>
    <row r="580" ht="12.75" customHeight="1">
      <c r="A580" s="5"/>
      <c r="B580" s="5"/>
      <c r="C580" s="5"/>
      <c r="D580" s="1"/>
    </row>
    <row r="581" ht="12.75" customHeight="1">
      <c r="A581" s="5"/>
      <c r="B581" s="5"/>
      <c r="C581" s="5"/>
      <c r="D581" s="1"/>
    </row>
    <row r="582" ht="12.75" customHeight="1">
      <c r="A582" s="5"/>
      <c r="B582" s="5"/>
      <c r="C582" s="5"/>
      <c r="D582" s="1"/>
    </row>
    <row r="583" ht="12.75" customHeight="1">
      <c r="A583" s="5"/>
      <c r="B583" s="5"/>
      <c r="C583" s="5"/>
      <c r="D583" s="1"/>
    </row>
    <row r="584" ht="12.75" customHeight="1">
      <c r="A584" s="5"/>
      <c r="B584" s="5"/>
      <c r="C584" s="5"/>
      <c r="D584" s="1"/>
    </row>
    <row r="585" ht="12.75" customHeight="1">
      <c r="A585" s="5"/>
      <c r="B585" s="5"/>
      <c r="C585" s="5"/>
      <c r="D585" s="1"/>
    </row>
    <row r="586" ht="12.75" customHeight="1">
      <c r="A586" s="5"/>
      <c r="B586" s="5"/>
      <c r="C586" s="5"/>
      <c r="D586" s="1"/>
    </row>
    <row r="587" ht="12.75" customHeight="1">
      <c r="A587" s="5"/>
      <c r="B587" s="5"/>
      <c r="C587" s="5"/>
      <c r="D587" s="1"/>
    </row>
    <row r="588" ht="12.75" customHeight="1">
      <c r="A588" s="5"/>
      <c r="B588" s="5"/>
      <c r="C588" s="5"/>
      <c r="D588" s="1"/>
    </row>
    <row r="589" ht="12.75" customHeight="1">
      <c r="A589" s="5"/>
      <c r="B589" s="5"/>
      <c r="C589" s="5"/>
      <c r="D589" s="1"/>
    </row>
    <row r="590" ht="12.75" customHeight="1">
      <c r="A590" s="5"/>
      <c r="B590" s="5"/>
      <c r="C590" s="5"/>
      <c r="D590" s="1"/>
    </row>
    <row r="591" ht="12.75" customHeight="1">
      <c r="A591" s="5"/>
      <c r="B591" s="5"/>
      <c r="C591" s="5"/>
      <c r="D591" s="1"/>
    </row>
    <row r="592" ht="12.75" customHeight="1">
      <c r="A592" s="5"/>
      <c r="B592" s="5"/>
      <c r="C592" s="5"/>
      <c r="D592" s="1"/>
    </row>
    <row r="593" ht="12.75" customHeight="1">
      <c r="A593" s="5"/>
      <c r="B593" s="5"/>
      <c r="C593" s="5"/>
      <c r="D593" s="1"/>
    </row>
    <row r="594" ht="12.75" customHeight="1">
      <c r="A594" s="5"/>
      <c r="B594" s="5"/>
      <c r="C594" s="5"/>
      <c r="D594" s="1"/>
    </row>
    <row r="595" ht="12.75" customHeight="1">
      <c r="A595" s="5"/>
      <c r="B595" s="5"/>
      <c r="C595" s="5"/>
      <c r="D595" s="1"/>
    </row>
    <row r="596" ht="12.75" customHeight="1">
      <c r="A596" s="5"/>
      <c r="B596" s="5"/>
      <c r="C596" s="5"/>
      <c r="D596" s="1"/>
    </row>
    <row r="597" ht="12.75" customHeight="1">
      <c r="A597" s="5"/>
      <c r="B597" s="5"/>
      <c r="C597" s="5"/>
      <c r="D597" s="1"/>
    </row>
    <row r="598" ht="12.75" customHeight="1">
      <c r="A598" s="5"/>
      <c r="B598" s="5"/>
      <c r="C598" s="5"/>
      <c r="D598" s="1"/>
    </row>
    <row r="599" ht="12.75" customHeight="1">
      <c r="A599" s="5"/>
      <c r="B599" s="5"/>
      <c r="C599" s="5"/>
      <c r="D599" s="1"/>
    </row>
    <row r="600" ht="12.75" customHeight="1">
      <c r="A600" s="5"/>
      <c r="B600" s="5"/>
      <c r="C600" s="5"/>
      <c r="D600" s="1"/>
    </row>
    <row r="601" ht="12.75" customHeight="1">
      <c r="A601" s="5"/>
      <c r="B601" s="5"/>
      <c r="C601" s="5"/>
      <c r="D601" s="1"/>
    </row>
    <row r="602" ht="12.75" customHeight="1">
      <c r="A602" s="5"/>
      <c r="B602" s="5"/>
      <c r="C602" s="5"/>
      <c r="D602" s="1"/>
    </row>
    <row r="603" ht="12.75" customHeight="1">
      <c r="A603" s="5"/>
      <c r="B603" s="5"/>
      <c r="C603" s="5"/>
      <c r="D603" s="1"/>
    </row>
    <row r="604" ht="12.75" customHeight="1">
      <c r="A604" s="5"/>
      <c r="B604" s="5"/>
      <c r="C604" s="5"/>
      <c r="D604" s="1"/>
    </row>
    <row r="605" ht="12.75" customHeight="1">
      <c r="A605" s="5"/>
      <c r="B605" s="5"/>
      <c r="C605" s="5"/>
      <c r="D605" s="1"/>
    </row>
    <row r="606" ht="12.75" customHeight="1">
      <c r="A606" s="5"/>
      <c r="B606" s="5"/>
      <c r="C606" s="5"/>
      <c r="D606" s="1"/>
    </row>
    <row r="607" ht="12.75" customHeight="1">
      <c r="A607" s="5"/>
      <c r="B607" s="5"/>
      <c r="C607" s="5"/>
      <c r="D607" s="1"/>
    </row>
    <row r="608" ht="12.75" customHeight="1">
      <c r="A608" s="5"/>
      <c r="B608" s="5"/>
      <c r="C608" s="5"/>
      <c r="D608" s="1"/>
    </row>
    <row r="609" ht="12.75" customHeight="1">
      <c r="A609" s="5"/>
      <c r="B609" s="5"/>
      <c r="C609" s="5"/>
      <c r="D609" s="1"/>
    </row>
    <row r="610" ht="12.75" customHeight="1">
      <c r="A610" s="5"/>
      <c r="B610" s="5"/>
      <c r="C610" s="5"/>
      <c r="D610" s="1"/>
    </row>
    <row r="611" ht="12.75" customHeight="1">
      <c r="A611" s="5"/>
      <c r="B611" s="5"/>
      <c r="C611" s="5"/>
      <c r="D611" s="1"/>
    </row>
    <row r="612" ht="12.75" customHeight="1">
      <c r="A612" s="5"/>
      <c r="B612" s="5"/>
      <c r="C612" s="5"/>
      <c r="D612" s="1"/>
    </row>
    <row r="613" ht="12.75" customHeight="1">
      <c r="A613" s="5"/>
      <c r="B613" s="5"/>
      <c r="C613" s="5"/>
      <c r="D613" s="1"/>
    </row>
    <row r="614" ht="12.75" customHeight="1">
      <c r="A614" s="5"/>
      <c r="B614" s="5"/>
      <c r="C614" s="5"/>
      <c r="D614" s="1"/>
    </row>
    <row r="615" ht="12.75" customHeight="1">
      <c r="A615" s="5"/>
      <c r="B615" s="5"/>
      <c r="C615" s="5"/>
      <c r="D615" s="1"/>
    </row>
    <row r="616" ht="12.75" customHeight="1">
      <c r="A616" s="5"/>
      <c r="B616" s="5"/>
      <c r="C616" s="5"/>
      <c r="D616" s="1"/>
    </row>
    <row r="617" ht="12.75" customHeight="1">
      <c r="A617" s="5"/>
      <c r="B617" s="5"/>
      <c r="C617" s="5"/>
      <c r="D617" s="1"/>
    </row>
    <row r="618" ht="12.75" customHeight="1">
      <c r="A618" s="5"/>
      <c r="B618" s="5"/>
      <c r="C618" s="5"/>
      <c r="D618" s="1"/>
    </row>
    <row r="619" ht="12.75" customHeight="1">
      <c r="A619" s="5"/>
      <c r="B619" s="5"/>
      <c r="C619" s="5"/>
      <c r="D619" s="1"/>
    </row>
    <row r="620" ht="12.75" customHeight="1">
      <c r="A620" s="5"/>
      <c r="B620" s="5"/>
      <c r="C620" s="5"/>
      <c r="D620" s="1"/>
    </row>
    <row r="621" ht="12.75" customHeight="1">
      <c r="A621" s="5"/>
      <c r="B621" s="5"/>
      <c r="C621" s="5"/>
      <c r="D621" s="1"/>
    </row>
    <row r="622" ht="12.75" customHeight="1">
      <c r="A622" s="5"/>
      <c r="B622" s="5"/>
      <c r="C622" s="5"/>
      <c r="D622" s="1"/>
    </row>
    <row r="623" ht="12.75" customHeight="1">
      <c r="A623" s="5"/>
      <c r="B623" s="5"/>
      <c r="C623" s="5"/>
      <c r="D623" s="1"/>
    </row>
    <row r="624" ht="12.75" customHeight="1">
      <c r="A624" s="5"/>
      <c r="B624" s="5"/>
      <c r="C624" s="5"/>
      <c r="D624" s="1"/>
    </row>
    <row r="625" ht="12.75" customHeight="1">
      <c r="A625" s="5"/>
      <c r="B625" s="5"/>
      <c r="C625" s="5"/>
      <c r="D625" s="1"/>
    </row>
    <row r="626" ht="12.75" customHeight="1">
      <c r="A626" s="5"/>
      <c r="B626" s="5"/>
      <c r="C626" s="5"/>
      <c r="D626" s="1"/>
    </row>
    <row r="627" ht="12.75" customHeight="1">
      <c r="A627" s="5"/>
      <c r="B627" s="5"/>
      <c r="C627" s="5"/>
      <c r="D627" s="1"/>
    </row>
    <row r="628" ht="12.75" customHeight="1">
      <c r="A628" s="5"/>
      <c r="B628" s="5"/>
      <c r="C628" s="5"/>
      <c r="D628" s="1"/>
    </row>
    <row r="629" ht="12.75" customHeight="1">
      <c r="A629" s="5"/>
      <c r="B629" s="5"/>
      <c r="C629" s="5"/>
      <c r="D629" s="1"/>
    </row>
    <row r="630" ht="12.75" customHeight="1">
      <c r="A630" s="5"/>
      <c r="B630" s="5"/>
      <c r="C630" s="5"/>
      <c r="D630" s="1"/>
    </row>
    <row r="631" ht="12.75" customHeight="1">
      <c r="A631" s="5"/>
      <c r="B631" s="5"/>
      <c r="C631" s="5"/>
      <c r="D631" s="1"/>
    </row>
    <row r="632" ht="12.75" customHeight="1">
      <c r="A632" s="5"/>
      <c r="B632" s="5"/>
      <c r="C632" s="5"/>
      <c r="D632" s="1"/>
    </row>
    <row r="633" ht="12.75" customHeight="1">
      <c r="A633" s="5"/>
      <c r="B633" s="5"/>
      <c r="C633" s="5"/>
      <c r="D633" s="1"/>
    </row>
    <row r="634" ht="12.75" customHeight="1">
      <c r="A634" s="6"/>
      <c r="B634" s="6"/>
      <c r="C634" s="6"/>
      <c r="D634" s="7"/>
    </row>
    <row r="635" ht="12.75" customHeight="1">
      <c r="A635" s="1"/>
      <c r="B635" s="1"/>
      <c r="C635" s="1"/>
    </row>
    <row r="636" ht="12.75" customHeight="1">
      <c r="A636" s="1"/>
      <c r="B636" s="1"/>
      <c r="C636" s="1"/>
    </row>
    <row r="637" ht="12.75" customHeight="1">
      <c r="A637" s="1"/>
      <c r="B637" s="1"/>
      <c r="C637" s="1"/>
    </row>
    <row r="638" ht="12.75" customHeight="1">
      <c r="A638" s="1"/>
      <c r="B638" s="1"/>
      <c r="C638" s="1"/>
    </row>
    <row r="639" ht="12.75" customHeight="1">
      <c r="A639" s="1"/>
      <c r="B639" s="1"/>
      <c r="C639" s="1"/>
    </row>
    <row r="640" ht="12.75" customHeight="1">
      <c r="A640" s="1"/>
      <c r="B640" s="1"/>
      <c r="C640" s="1"/>
    </row>
    <row r="641" ht="12.75" customHeight="1">
      <c r="A641" s="1"/>
      <c r="B641" s="1"/>
      <c r="C641" s="1"/>
    </row>
    <row r="642" ht="12.75" customHeight="1">
      <c r="A642" s="1"/>
      <c r="B642" s="1"/>
      <c r="C642" s="1"/>
    </row>
    <row r="643" ht="12.75" customHeight="1">
      <c r="A643" s="1"/>
      <c r="B643" s="1"/>
      <c r="C643" s="1"/>
    </row>
    <row r="644" ht="12.75" customHeight="1">
      <c r="A644" s="1"/>
      <c r="B644" s="1"/>
      <c r="C644" s="1"/>
    </row>
    <row r="645" ht="12.75" customHeight="1">
      <c r="A645" s="1"/>
      <c r="B645" s="1"/>
      <c r="C645" s="1"/>
    </row>
    <row r="646" ht="12.75" customHeight="1">
      <c r="A646" s="1"/>
      <c r="B646" s="1"/>
      <c r="C646" s="1"/>
    </row>
    <row r="647" ht="12.75" customHeight="1">
      <c r="A647" s="1"/>
      <c r="B647" s="1"/>
      <c r="C647" s="1"/>
    </row>
    <row r="648" ht="12.75" customHeight="1">
      <c r="A648" s="1"/>
      <c r="B648" s="1"/>
      <c r="C648" s="1"/>
    </row>
    <row r="649" ht="12.75" customHeight="1">
      <c r="A649" s="1"/>
      <c r="B649" s="1"/>
      <c r="C649" s="1"/>
    </row>
    <row r="650" ht="12.75" customHeight="1">
      <c r="A650" s="1"/>
      <c r="B650" s="1"/>
      <c r="C650" s="1"/>
    </row>
    <row r="651" ht="12.75" customHeight="1">
      <c r="A651" s="1"/>
      <c r="B651" s="1"/>
      <c r="C651" s="1"/>
    </row>
    <row r="652" ht="12.75" customHeight="1">
      <c r="A652" s="1"/>
      <c r="B652" s="1"/>
      <c r="C652" s="1"/>
    </row>
    <row r="653" ht="12.75" customHeight="1">
      <c r="A653" s="1"/>
      <c r="B653" s="1"/>
      <c r="C653" s="1"/>
    </row>
    <row r="654" ht="12.75" customHeight="1">
      <c r="A654" s="1"/>
      <c r="B654" s="1"/>
      <c r="C654" s="1"/>
    </row>
    <row r="655" ht="12.75" customHeight="1">
      <c r="A655" s="1"/>
      <c r="B655" s="1"/>
      <c r="C655" s="1"/>
    </row>
    <row r="656" ht="12.75" customHeight="1">
      <c r="A656" s="1"/>
      <c r="B656" s="1"/>
      <c r="C656" s="1"/>
    </row>
    <row r="657" ht="12.75" customHeight="1">
      <c r="A657" s="1"/>
      <c r="B657" s="1"/>
      <c r="C657" s="1"/>
    </row>
    <row r="658" ht="12.75" customHeight="1">
      <c r="A658" s="1"/>
      <c r="B658" s="1"/>
      <c r="C658" s="1"/>
    </row>
    <row r="659" ht="12.75" customHeight="1">
      <c r="A659" s="1"/>
      <c r="B659" s="1"/>
      <c r="C659" s="1"/>
    </row>
    <row r="660" ht="12.75" customHeight="1">
      <c r="A660" s="1"/>
      <c r="B660" s="1"/>
      <c r="C660" s="1"/>
    </row>
    <row r="661" ht="12.75" customHeight="1">
      <c r="A661" s="1"/>
      <c r="B661" s="1"/>
      <c r="C661" s="1"/>
    </row>
    <row r="662" ht="12.75" customHeight="1">
      <c r="A662" s="1"/>
      <c r="B662" s="1"/>
      <c r="C662" s="1"/>
    </row>
    <row r="663" ht="12.75" customHeight="1">
      <c r="A663" s="1"/>
      <c r="B663" s="1"/>
      <c r="C663" s="1"/>
    </row>
    <row r="664" ht="12.75" customHeight="1">
      <c r="A664" s="1"/>
      <c r="B664" s="1"/>
      <c r="C664" s="1"/>
    </row>
    <row r="665" ht="12.75" customHeight="1">
      <c r="A665" s="1"/>
      <c r="B665" s="1"/>
      <c r="C665" s="1"/>
    </row>
    <row r="666" ht="12.75" customHeight="1">
      <c r="A666" s="1"/>
      <c r="B666" s="1"/>
      <c r="C666" s="1"/>
    </row>
    <row r="667" ht="12.75" customHeight="1">
      <c r="A667" s="1"/>
      <c r="B667" s="1"/>
      <c r="C667" s="1"/>
    </row>
    <row r="668" ht="12.75" customHeight="1">
      <c r="A668" s="1"/>
      <c r="B668" s="1"/>
      <c r="C668" s="1"/>
    </row>
    <row r="669" ht="12.75" customHeight="1">
      <c r="A669" s="1"/>
      <c r="B669" s="1"/>
      <c r="C669" s="1"/>
    </row>
    <row r="670" ht="12.75" customHeight="1">
      <c r="A670" s="1"/>
      <c r="B670" s="1"/>
      <c r="C670" s="1"/>
    </row>
    <row r="671" ht="12.75" customHeight="1">
      <c r="A671" s="1"/>
      <c r="B671" s="1"/>
      <c r="C671" s="1"/>
    </row>
    <row r="672" ht="12.75" customHeight="1">
      <c r="A672" s="1"/>
      <c r="B672" s="1"/>
      <c r="C672" s="1"/>
    </row>
    <row r="673" ht="12.75" customHeight="1">
      <c r="A673" s="1"/>
      <c r="B673" s="1"/>
      <c r="C673" s="1"/>
    </row>
    <row r="674" ht="12.75" customHeight="1">
      <c r="A674" s="1"/>
      <c r="B674" s="1"/>
      <c r="C674" s="1"/>
    </row>
    <row r="675" ht="12.75" customHeight="1">
      <c r="A675" s="1"/>
      <c r="B675" s="1"/>
      <c r="C675" s="1"/>
    </row>
    <row r="676" ht="12.75" customHeight="1">
      <c r="A676" s="1"/>
      <c r="B676" s="1"/>
      <c r="C676" s="1"/>
    </row>
    <row r="677" ht="12.75" customHeight="1">
      <c r="A677" s="1"/>
      <c r="B677" s="1"/>
      <c r="C677" s="1"/>
    </row>
    <row r="678" ht="12.75" customHeight="1">
      <c r="A678" s="1"/>
      <c r="B678" s="1"/>
      <c r="C678" s="1"/>
    </row>
    <row r="679" ht="12.75" customHeight="1">
      <c r="A679" s="1"/>
      <c r="B679" s="1"/>
      <c r="C679" s="1"/>
    </row>
    <row r="680" ht="12.75" customHeight="1">
      <c r="A680" s="1"/>
      <c r="B680" s="1"/>
      <c r="C680" s="1"/>
    </row>
    <row r="681" ht="12.75" customHeight="1">
      <c r="A681" s="1"/>
      <c r="B681" s="1"/>
      <c r="C681" s="1"/>
    </row>
    <row r="682" ht="12.75" customHeight="1">
      <c r="A682" s="1"/>
      <c r="B682" s="1"/>
      <c r="C682" s="1"/>
    </row>
    <row r="683" ht="12.75" customHeight="1">
      <c r="A683" s="1"/>
      <c r="B683" s="1"/>
      <c r="C683" s="1"/>
    </row>
    <row r="684" ht="12.75" customHeight="1">
      <c r="A684" s="1"/>
      <c r="B684" s="1"/>
      <c r="C684" s="1"/>
    </row>
    <row r="685" ht="12.75" customHeight="1">
      <c r="A685" s="1"/>
      <c r="B685" s="1"/>
      <c r="C685" s="1"/>
    </row>
    <row r="686" ht="12.75" customHeight="1">
      <c r="A686" s="1"/>
      <c r="B686" s="1"/>
      <c r="C686" s="1"/>
    </row>
    <row r="687" ht="12.75" customHeight="1">
      <c r="A687" s="1"/>
      <c r="B687" s="1"/>
      <c r="C687" s="1"/>
    </row>
    <row r="688" ht="12.75" customHeight="1">
      <c r="A688" s="1"/>
      <c r="B688" s="1"/>
      <c r="C688" s="1"/>
    </row>
    <row r="689" ht="12.75" customHeight="1">
      <c r="A689" s="1"/>
      <c r="B689" s="1"/>
      <c r="C689" s="1"/>
    </row>
    <row r="690" ht="12.75" customHeight="1">
      <c r="A690" s="1"/>
      <c r="B690" s="1"/>
      <c r="C690" s="1"/>
    </row>
    <row r="691" ht="12.75" customHeight="1">
      <c r="A691" s="1"/>
      <c r="B691" s="1"/>
      <c r="C691" s="1"/>
    </row>
    <row r="692" ht="12.75" customHeight="1">
      <c r="A692" s="1"/>
      <c r="B692" s="1"/>
      <c r="C692" s="1"/>
    </row>
    <row r="693" ht="12.75" customHeight="1">
      <c r="A693" s="1"/>
      <c r="B693" s="1"/>
      <c r="C693" s="1"/>
    </row>
    <row r="694" ht="12.75" customHeight="1">
      <c r="A694" s="1"/>
      <c r="B694" s="1"/>
      <c r="C694" s="1"/>
    </row>
    <row r="695" ht="12.75" customHeight="1">
      <c r="A695" s="1"/>
      <c r="B695" s="1"/>
      <c r="C695" s="1"/>
    </row>
    <row r="696" ht="12.75" customHeight="1">
      <c r="A696" s="1"/>
      <c r="B696" s="1"/>
      <c r="C696" s="1"/>
    </row>
    <row r="697" ht="12.75" customHeight="1">
      <c r="A697" s="1"/>
      <c r="B697" s="1"/>
      <c r="C697" s="1"/>
    </row>
    <row r="698" ht="12.75" customHeight="1">
      <c r="A698" s="1"/>
      <c r="B698" s="1"/>
      <c r="C698" s="1"/>
    </row>
    <row r="699" ht="12.75" customHeight="1">
      <c r="A699" s="1"/>
      <c r="B699" s="1"/>
      <c r="C699" s="1"/>
    </row>
    <row r="700" ht="12.75" customHeight="1">
      <c r="A700" s="1"/>
      <c r="B700" s="1"/>
      <c r="C700" s="1"/>
    </row>
    <row r="701" ht="12.75" customHeight="1">
      <c r="A701" s="1"/>
      <c r="B701" s="1"/>
      <c r="C701" s="1"/>
    </row>
    <row r="702" ht="12.75" customHeight="1">
      <c r="A702" s="1"/>
      <c r="B702" s="1"/>
      <c r="C702" s="1"/>
    </row>
    <row r="703" ht="12.75" customHeight="1">
      <c r="A703" s="1"/>
      <c r="B703" s="1"/>
      <c r="C703" s="1"/>
    </row>
    <row r="704" ht="12.75" customHeight="1">
      <c r="A704" s="1"/>
      <c r="B704" s="1"/>
      <c r="C704" s="1"/>
    </row>
    <row r="705" ht="12.75" customHeight="1">
      <c r="A705" s="1"/>
      <c r="B705" s="1"/>
      <c r="C705" s="1"/>
    </row>
    <row r="706" ht="12.75" customHeight="1">
      <c r="A706" s="1"/>
      <c r="B706" s="1"/>
      <c r="C706" s="1"/>
    </row>
    <row r="707" ht="12.75" customHeight="1">
      <c r="A707" s="1"/>
      <c r="B707" s="1"/>
      <c r="C707" s="1"/>
    </row>
    <row r="708" ht="12.75" customHeight="1">
      <c r="A708" s="1"/>
      <c r="B708" s="1"/>
      <c r="C708" s="1"/>
    </row>
    <row r="709" ht="12.75" customHeight="1">
      <c r="A709" s="1"/>
      <c r="B709" s="1"/>
      <c r="C709" s="1"/>
    </row>
    <row r="710" ht="12.75" customHeight="1">
      <c r="A710" s="1"/>
      <c r="B710" s="1"/>
      <c r="C710" s="1"/>
    </row>
    <row r="711" ht="12.75" customHeight="1">
      <c r="A711" s="1"/>
      <c r="B711" s="1"/>
      <c r="C711" s="1"/>
    </row>
    <row r="712" ht="12.75" customHeight="1">
      <c r="A712" s="1"/>
      <c r="B712" s="1"/>
      <c r="C712" s="1"/>
    </row>
    <row r="713" ht="12.75" customHeight="1">
      <c r="A713" s="1"/>
      <c r="B713" s="1"/>
      <c r="C713" s="1"/>
    </row>
    <row r="714" ht="12.75" customHeight="1">
      <c r="A714" s="1"/>
      <c r="B714" s="1"/>
      <c r="C714" s="1"/>
    </row>
    <row r="715" ht="12.75" customHeight="1">
      <c r="A715" s="1"/>
      <c r="B715" s="1"/>
      <c r="C715" s="1"/>
    </row>
    <row r="716" ht="12.75" customHeight="1">
      <c r="A716" s="1"/>
      <c r="B716" s="1"/>
      <c r="C716" s="1"/>
    </row>
    <row r="717" ht="12.75" customHeight="1">
      <c r="A717" s="1"/>
      <c r="B717" s="1"/>
      <c r="C717" s="1"/>
    </row>
    <row r="718" ht="12.75" customHeight="1">
      <c r="A718" s="1"/>
      <c r="B718" s="1"/>
      <c r="C718" s="1"/>
    </row>
    <row r="719" ht="12.75" customHeight="1">
      <c r="A719" s="1"/>
      <c r="B719" s="1"/>
      <c r="C719" s="1"/>
    </row>
    <row r="720" ht="12.75" customHeight="1">
      <c r="A720" s="1"/>
      <c r="B720" s="1"/>
      <c r="C720" s="1"/>
    </row>
    <row r="721" ht="12.75" customHeight="1">
      <c r="A721" s="1"/>
      <c r="B721" s="1"/>
      <c r="C721" s="1"/>
    </row>
    <row r="722" ht="12.75" customHeight="1">
      <c r="A722" s="1"/>
      <c r="B722" s="1"/>
      <c r="C722" s="1"/>
    </row>
    <row r="723" ht="12.75" customHeight="1">
      <c r="A723" s="1"/>
      <c r="B723" s="1"/>
      <c r="C723" s="1"/>
    </row>
    <row r="724" ht="12.75" customHeight="1">
      <c r="A724" s="1"/>
      <c r="B724" s="1"/>
      <c r="C724" s="1"/>
    </row>
    <row r="725" ht="12.75" customHeight="1">
      <c r="A725" s="1"/>
      <c r="B725" s="1"/>
      <c r="C725" s="1"/>
    </row>
    <row r="726" ht="12.75" customHeight="1">
      <c r="A726" s="1"/>
      <c r="B726" s="1"/>
      <c r="C726" s="1"/>
    </row>
    <row r="727" ht="12.75" customHeight="1">
      <c r="A727" s="1"/>
      <c r="B727" s="1"/>
      <c r="C727" s="1"/>
    </row>
    <row r="728" ht="12.75" customHeight="1">
      <c r="A728" s="1"/>
      <c r="B728" s="1"/>
      <c r="C728" s="1"/>
    </row>
    <row r="729" ht="12.75" customHeight="1">
      <c r="A729" s="1"/>
      <c r="B729" s="1"/>
      <c r="C729" s="1"/>
    </row>
    <row r="730" ht="12.75" customHeight="1">
      <c r="A730" s="1"/>
      <c r="B730" s="1"/>
      <c r="C730" s="1"/>
    </row>
    <row r="731" ht="12.75" customHeight="1">
      <c r="A731" s="1"/>
      <c r="B731" s="1"/>
      <c r="C731" s="1"/>
    </row>
    <row r="732" ht="12.75" customHeight="1">
      <c r="A732" s="1"/>
      <c r="B732" s="1"/>
      <c r="C732" s="1"/>
    </row>
    <row r="733" ht="12.75" customHeight="1">
      <c r="A733" s="1"/>
      <c r="B733" s="1"/>
      <c r="C733" s="1"/>
    </row>
    <row r="734" ht="12.75" customHeight="1">
      <c r="A734" s="1"/>
      <c r="B734" s="1"/>
      <c r="C734" s="1"/>
    </row>
    <row r="735" ht="12.75" customHeight="1">
      <c r="A735" s="1"/>
      <c r="B735" s="1"/>
      <c r="C735" s="1"/>
    </row>
    <row r="736" ht="12.75" customHeight="1">
      <c r="A736" s="1"/>
      <c r="B736" s="1"/>
      <c r="C736" s="1"/>
    </row>
    <row r="737" ht="12.75" customHeight="1">
      <c r="A737" s="1"/>
      <c r="B737" s="1"/>
      <c r="C737" s="1"/>
    </row>
    <row r="738" ht="12.75" customHeight="1">
      <c r="A738" s="1"/>
      <c r="B738" s="1"/>
      <c r="C738" s="1"/>
    </row>
    <row r="739" ht="12.75" customHeight="1">
      <c r="A739" s="1"/>
      <c r="B739" s="1"/>
      <c r="C739" s="1"/>
    </row>
    <row r="740" ht="12.75" customHeight="1">
      <c r="A740" s="1"/>
      <c r="B740" s="1"/>
      <c r="C740" s="1"/>
    </row>
    <row r="741" ht="12.75" customHeight="1">
      <c r="A741" s="1"/>
      <c r="B741" s="1"/>
      <c r="C741" s="1"/>
    </row>
    <row r="742" ht="12.75" customHeight="1">
      <c r="A742" s="1"/>
      <c r="B742" s="1"/>
      <c r="C742" s="1"/>
    </row>
    <row r="743" ht="12.75" customHeight="1">
      <c r="A743" s="1"/>
      <c r="B743" s="1"/>
      <c r="C743" s="1"/>
    </row>
    <row r="744" ht="12.75" customHeight="1">
      <c r="A744" s="1"/>
      <c r="B744" s="1"/>
      <c r="C744" s="1"/>
    </row>
    <row r="745" ht="12.75" customHeight="1">
      <c r="A745" s="1"/>
      <c r="B745" s="1"/>
      <c r="C745" s="1"/>
    </row>
    <row r="746" ht="12.75" customHeight="1">
      <c r="A746" s="1"/>
      <c r="B746" s="1"/>
      <c r="C746" s="1"/>
    </row>
    <row r="747" ht="12.75" customHeight="1">
      <c r="A747" s="1"/>
      <c r="B747" s="1"/>
      <c r="C747" s="1"/>
    </row>
    <row r="748" ht="12.75" customHeight="1">
      <c r="A748" s="1"/>
      <c r="B748" s="1"/>
      <c r="C748" s="1"/>
    </row>
    <row r="749" ht="12.75" customHeight="1">
      <c r="A749" s="1"/>
      <c r="B749" s="1"/>
      <c r="C749" s="1"/>
    </row>
    <row r="750" ht="12.75" customHeight="1">
      <c r="A750" s="1"/>
      <c r="B750" s="1"/>
      <c r="C750" s="1"/>
    </row>
    <row r="751" ht="12.75" customHeight="1">
      <c r="A751" s="1"/>
      <c r="B751" s="1"/>
      <c r="C751" s="1"/>
    </row>
    <row r="752" ht="12.75" customHeight="1">
      <c r="A752" s="1"/>
      <c r="B752" s="1"/>
      <c r="C752" s="1"/>
    </row>
    <row r="753" ht="12.75" customHeight="1">
      <c r="A753" s="1"/>
      <c r="B753" s="1"/>
      <c r="C753" s="1"/>
    </row>
    <row r="754" ht="12.75" customHeight="1">
      <c r="A754" s="1"/>
      <c r="B754" s="1"/>
      <c r="C754" s="1"/>
    </row>
    <row r="755" ht="12.75" customHeight="1">
      <c r="A755" s="1"/>
      <c r="B755" s="1"/>
      <c r="C755" s="1"/>
    </row>
    <row r="756" ht="12.75" customHeight="1">
      <c r="A756" s="1"/>
      <c r="B756" s="1"/>
      <c r="C756" s="1"/>
    </row>
    <row r="757" ht="12.75" customHeight="1">
      <c r="A757" s="1"/>
      <c r="B757" s="1"/>
      <c r="C757" s="1"/>
    </row>
    <row r="758" ht="12.75" customHeight="1">
      <c r="A758" s="1"/>
      <c r="B758" s="1"/>
      <c r="C758" s="1"/>
    </row>
    <row r="759" ht="12.75" customHeight="1">
      <c r="A759" s="1"/>
      <c r="B759" s="1"/>
      <c r="C759" s="1"/>
    </row>
    <row r="760" ht="12.75" customHeight="1">
      <c r="A760" s="1"/>
      <c r="B760" s="1"/>
      <c r="C760" s="1"/>
    </row>
    <row r="761" ht="12.75" customHeight="1">
      <c r="A761" s="1"/>
      <c r="B761" s="1"/>
      <c r="C761" s="1"/>
    </row>
    <row r="762" ht="12.75" customHeight="1">
      <c r="A762" s="1"/>
      <c r="B762" s="1"/>
      <c r="C762" s="1"/>
    </row>
    <row r="763" ht="12.75" customHeight="1">
      <c r="A763" s="1"/>
      <c r="B763" s="1"/>
      <c r="C763" s="1"/>
    </row>
    <row r="764" ht="12.75" customHeight="1">
      <c r="A764" s="1"/>
      <c r="B764" s="1"/>
      <c r="C764" s="1"/>
    </row>
    <row r="765" ht="12.75" customHeight="1">
      <c r="A765" s="1"/>
      <c r="B765" s="1"/>
      <c r="C765" s="1"/>
    </row>
    <row r="766" ht="12.75" customHeight="1">
      <c r="A766" s="1"/>
      <c r="B766" s="1"/>
      <c r="C766" s="1"/>
    </row>
    <row r="767" ht="12.75" customHeight="1">
      <c r="A767" s="1"/>
      <c r="B767" s="1"/>
      <c r="C767" s="1"/>
    </row>
    <row r="768" ht="12.75" customHeight="1">
      <c r="A768" s="1"/>
      <c r="B768" s="1"/>
      <c r="C768" s="1"/>
    </row>
    <row r="769" ht="12.75" customHeight="1">
      <c r="A769" s="1"/>
      <c r="B769" s="1"/>
      <c r="C769" s="1"/>
    </row>
    <row r="770" ht="12.75" customHeight="1">
      <c r="A770" s="1"/>
      <c r="B770" s="1"/>
      <c r="C770" s="1"/>
    </row>
    <row r="771" ht="12.75" customHeight="1">
      <c r="A771" s="1"/>
      <c r="B771" s="1"/>
      <c r="C771" s="1"/>
    </row>
    <row r="772" ht="12.75" customHeight="1">
      <c r="A772" s="1"/>
      <c r="B772" s="1"/>
      <c r="C772" s="1"/>
    </row>
    <row r="773" ht="12.75" customHeight="1">
      <c r="A773" s="1"/>
      <c r="B773" s="1"/>
      <c r="C773" s="1"/>
    </row>
    <row r="774" ht="12.75" customHeight="1">
      <c r="A774" s="1"/>
      <c r="B774" s="1"/>
      <c r="C774" s="1"/>
    </row>
    <row r="775" ht="12.75" customHeight="1">
      <c r="A775" s="1"/>
      <c r="B775" s="1"/>
      <c r="C775" s="1"/>
    </row>
    <row r="776" ht="12.75" customHeight="1">
      <c r="A776" s="1"/>
      <c r="B776" s="1"/>
      <c r="C776" s="1"/>
    </row>
    <row r="777" ht="12.75" customHeight="1">
      <c r="A777" s="1"/>
      <c r="B777" s="1"/>
      <c r="C777" s="1"/>
    </row>
    <row r="778" ht="12.75" customHeight="1">
      <c r="A778" s="1"/>
      <c r="B778" s="1"/>
      <c r="C778" s="1"/>
    </row>
    <row r="779" ht="12.75" customHeight="1">
      <c r="A779" s="1"/>
      <c r="B779" s="1"/>
      <c r="C779" s="1"/>
    </row>
    <row r="780" ht="12.75" customHeight="1">
      <c r="A780" s="1"/>
      <c r="B780" s="1"/>
      <c r="C780" s="1"/>
    </row>
    <row r="781" ht="12.75" customHeight="1">
      <c r="A781" s="1"/>
      <c r="B781" s="1"/>
      <c r="C781" s="1"/>
    </row>
    <row r="782" ht="12.75" customHeight="1">
      <c r="A782" s="1"/>
      <c r="B782" s="1"/>
      <c r="C782" s="1"/>
    </row>
    <row r="783" ht="12.75" customHeight="1">
      <c r="A783" s="1"/>
      <c r="B783" s="1"/>
      <c r="C783" s="1"/>
    </row>
    <row r="784" ht="12.75" customHeight="1">
      <c r="A784" s="1"/>
      <c r="B784" s="1"/>
      <c r="C784" s="1"/>
    </row>
    <row r="785" ht="12.75" customHeight="1">
      <c r="A785" s="1"/>
      <c r="B785" s="1"/>
      <c r="C785" s="1"/>
    </row>
    <row r="786" ht="12.75" customHeight="1">
      <c r="A786" s="1"/>
      <c r="B786" s="1"/>
      <c r="C786" s="1"/>
    </row>
    <row r="787" ht="12.75" customHeight="1">
      <c r="A787" s="1"/>
      <c r="B787" s="1"/>
      <c r="C787" s="1"/>
    </row>
    <row r="788" ht="12.75" customHeight="1">
      <c r="A788" s="1"/>
      <c r="B788" s="1"/>
      <c r="C788" s="1"/>
    </row>
    <row r="789" ht="12.75" customHeight="1">
      <c r="A789" s="1"/>
      <c r="B789" s="1"/>
      <c r="C789" s="1"/>
    </row>
    <row r="790" ht="12.75" customHeight="1">
      <c r="A790" s="1"/>
      <c r="B790" s="1"/>
      <c r="C790" s="1"/>
    </row>
    <row r="791" ht="12.75" customHeight="1">
      <c r="A791" s="1"/>
      <c r="B791" s="1"/>
      <c r="C791" s="1"/>
    </row>
    <row r="792" ht="12.75" customHeight="1">
      <c r="A792" s="1"/>
      <c r="B792" s="1"/>
      <c r="C792" s="1"/>
    </row>
    <row r="793" ht="12.75" customHeight="1">
      <c r="A793" s="1"/>
      <c r="B793" s="1"/>
      <c r="C793" s="1"/>
    </row>
    <row r="794" ht="12.75" customHeight="1">
      <c r="A794" s="1"/>
      <c r="B794" s="1"/>
      <c r="C794" s="1"/>
    </row>
    <row r="795" ht="12.75" customHeight="1">
      <c r="A795" s="1"/>
      <c r="B795" s="1"/>
      <c r="C795" s="1"/>
    </row>
    <row r="796" ht="12.75" customHeight="1">
      <c r="A796" s="1"/>
      <c r="B796" s="1"/>
      <c r="C796" s="1"/>
    </row>
    <row r="797" ht="12.75" customHeight="1">
      <c r="A797" s="1"/>
      <c r="B797" s="1"/>
      <c r="C797" s="1"/>
    </row>
    <row r="798" ht="12.75" customHeight="1">
      <c r="A798" s="1"/>
      <c r="B798" s="1"/>
      <c r="C798" s="1"/>
    </row>
    <row r="799" ht="12.75" customHeight="1">
      <c r="A799" s="1"/>
      <c r="B799" s="1"/>
      <c r="C799" s="1"/>
    </row>
    <row r="800" ht="12.75" customHeight="1">
      <c r="A800" s="1"/>
      <c r="B800" s="1"/>
      <c r="C800" s="1"/>
    </row>
    <row r="801" ht="12.75" customHeight="1">
      <c r="A801" s="1"/>
      <c r="B801" s="1"/>
      <c r="C801" s="1"/>
    </row>
    <row r="802" ht="12.75" customHeight="1">
      <c r="A802" s="1"/>
      <c r="B802" s="1"/>
      <c r="C802" s="1"/>
    </row>
    <row r="803" ht="12.75" customHeight="1">
      <c r="A803" s="1"/>
      <c r="B803" s="1"/>
      <c r="C803" s="1"/>
    </row>
    <row r="804" ht="12.75" customHeight="1">
      <c r="A804" s="1"/>
      <c r="B804" s="1"/>
      <c r="C804" s="1"/>
    </row>
    <row r="805" ht="12.75" customHeight="1">
      <c r="A805" s="1"/>
      <c r="B805" s="1"/>
      <c r="C805" s="1"/>
    </row>
    <row r="806" ht="12.75" customHeight="1">
      <c r="A806" s="1"/>
      <c r="B806" s="1"/>
      <c r="C806" s="1"/>
    </row>
    <row r="807" ht="12.75" customHeight="1">
      <c r="A807" s="1"/>
      <c r="B807" s="1"/>
      <c r="C807" s="1"/>
    </row>
    <row r="808" ht="12.75" customHeight="1">
      <c r="A808" s="1"/>
      <c r="B808" s="1"/>
      <c r="C808" s="1"/>
    </row>
    <row r="809" ht="12.75" customHeight="1">
      <c r="A809" s="1"/>
      <c r="B809" s="1"/>
      <c r="C809" s="1"/>
    </row>
    <row r="810" ht="12.75" customHeight="1">
      <c r="A810" s="1"/>
      <c r="B810" s="1"/>
      <c r="C810" s="1"/>
    </row>
    <row r="811" ht="12.75" customHeight="1">
      <c r="A811" s="1"/>
      <c r="B811" s="1"/>
      <c r="C811" s="1"/>
    </row>
    <row r="812" ht="12.75" customHeight="1">
      <c r="A812" s="1"/>
      <c r="B812" s="1"/>
      <c r="C812" s="1"/>
    </row>
    <row r="813" ht="12.75" customHeight="1">
      <c r="A813" s="1"/>
      <c r="B813" s="1"/>
      <c r="C813" s="1"/>
    </row>
    <row r="814" ht="12.75" customHeight="1">
      <c r="A814" s="1"/>
      <c r="B814" s="1"/>
      <c r="C814" s="1"/>
    </row>
    <row r="815" ht="12.75" customHeight="1">
      <c r="A815" s="1"/>
      <c r="B815" s="1"/>
      <c r="C815" s="1"/>
    </row>
    <row r="816" ht="12.75" customHeight="1">
      <c r="A816" s="1"/>
      <c r="B816" s="1"/>
      <c r="C816" s="1"/>
    </row>
    <row r="817" ht="12.75" customHeight="1">
      <c r="A817" s="1"/>
      <c r="B817" s="1"/>
      <c r="C817" s="1"/>
    </row>
    <row r="818" ht="12.75" customHeight="1">
      <c r="A818" s="1"/>
      <c r="B818" s="1"/>
      <c r="C818" s="1"/>
    </row>
    <row r="819" ht="12.75" customHeight="1">
      <c r="A819" s="1"/>
      <c r="B819" s="1"/>
      <c r="C819" s="1"/>
    </row>
    <row r="820" ht="12.75" customHeight="1">
      <c r="A820" s="1"/>
      <c r="B820" s="1"/>
      <c r="C820" s="1"/>
    </row>
    <row r="821" ht="12.75" customHeight="1">
      <c r="A821" s="1"/>
      <c r="B821" s="1"/>
      <c r="C821" s="1"/>
    </row>
    <row r="822" ht="12.75" customHeight="1">
      <c r="A822" s="1"/>
      <c r="B822" s="1"/>
      <c r="C822" s="1"/>
    </row>
    <row r="823" ht="12.75" customHeight="1">
      <c r="A823" s="1"/>
      <c r="B823" s="1"/>
      <c r="C823" s="1"/>
    </row>
    <row r="824" ht="12.75" customHeight="1">
      <c r="A824" s="1"/>
      <c r="B824" s="1"/>
      <c r="C824" s="1"/>
    </row>
    <row r="825" ht="12.75" customHeight="1">
      <c r="A825" s="1"/>
      <c r="B825" s="1"/>
      <c r="C825" s="1"/>
    </row>
    <row r="826" ht="12.75" customHeight="1">
      <c r="A826" s="1"/>
      <c r="B826" s="1"/>
      <c r="C826" s="1"/>
    </row>
    <row r="827" ht="12.75" customHeight="1">
      <c r="A827" s="1"/>
      <c r="B827" s="1"/>
      <c r="C827" s="1"/>
    </row>
    <row r="828" ht="12.75" customHeight="1">
      <c r="A828" s="1"/>
      <c r="B828" s="1"/>
      <c r="C828" s="1"/>
    </row>
    <row r="829" ht="12.75" customHeight="1">
      <c r="A829" s="1"/>
      <c r="B829" s="1"/>
      <c r="C829" s="1"/>
    </row>
    <row r="830" ht="12.75" customHeight="1">
      <c r="A830" s="1"/>
      <c r="B830" s="1"/>
      <c r="C830" s="1"/>
    </row>
    <row r="831" ht="12.75" customHeight="1">
      <c r="A831" s="1"/>
      <c r="B831" s="1"/>
      <c r="C831" s="1"/>
    </row>
    <row r="832" ht="12.75" customHeight="1">
      <c r="A832" s="1"/>
      <c r="B832" s="1"/>
      <c r="C832" s="1"/>
    </row>
    <row r="833" ht="12.75" customHeight="1">
      <c r="A833" s="1"/>
      <c r="B833" s="1"/>
      <c r="C833" s="1"/>
    </row>
    <row r="834" ht="12.75" customHeight="1">
      <c r="A834" s="1"/>
      <c r="B834" s="1"/>
      <c r="C834" s="1"/>
    </row>
    <row r="835" ht="12.75" customHeight="1">
      <c r="A835" s="1"/>
      <c r="B835" s="1"/>
      <c r="C835" s="1"/>
    </row>
    <row r="836" ht="12.75" customHeight="1">
      <c r="A836" s="1"/>
      <c r="B836" s="1"/>
      <c r="C836" s="1"/>
    </row>
    <row r="837" ht="12.75" customHeight="1">
      <c r="A837" s="1"/>
      <c r="B837" s="1"/>
      <c r="C837" s="1"/>
    </row>
    <row r="838" ht="12.75" customHeight="1">
      <c r="A838" s="1"/>
      <c r="B838" s="1"/>
      <c r="C838" s="1"/>
    </row>
    <row r="839" ht="12.75" customHeight="1">
      <c r="A839" s="1"/>
      <c r="B839" s="1"/>
      <c r="C839" s="1"/>
    </row>
    <row r="840" ht="12.75" customHeight="1">
      <c r="A840" s="1"/>
      <c r="B840" s="1"/>
      <c r="C840" s="1"/>
    </row>
    <row r="841" ht="12.75" customHeight="1">
      <c r="A841" s="1"/>
      <c r="B841" s="1"/>
      <c r="C841" s="1"/>
    </row>
    <row r="842" ht="12.75" customHeight="1">
      <c r="A842" s="1"/>
      <c r="B842" s="1"/>
      <c r="C842" s="1"/>
    </row>
    <row r="843" ht="12.75" customHeight="1">
      <c r="A843" s="1"/>
      <c r="B843" s="1"/>
      <c r="C843" s="1"/>
    </row>
    <row r="844" ht="12.75" customHeight="1">
      <c r="A844" s="1"/>
      <c r="B844" s="1"/>
      <c r="C844" s="1"/>
    </row>
    <row r="845" ht="12.75" customHeight="1">
      <c r="A845" s="1"/>
      <c r="B845" s="1"/>
      <c r="C845" s="1"/>
    </row>
    <row r="846" ht="12.75" customHeight="1">
      <c r="A846" s="1"/>
      <c r="B846" s="1"/>
      <c r="C846" s="1"/>
    </row>
    <row r="847" ht="12.75" customHeight="1">
      <c r="A847" s="1"/>
      <c r="B847" s="1"/>
      <c r="C847" s="1"/>
    </row>
    <row r="848" ht="12.75" customHeight="1">
      <c r="A848" s="1"/>
      <c r="B848" s="1"/>
      <c r="C848" s="1"/>
    </row>
    <row r="849" ht="12.75" customHeight="1">
      <c r="A849" s="1"/>
      <c r="B849" s="1"/>
      <c r="C849" s="1"/>
    </row>
    <row r="850" ht="12.75" customHeight="1">
      <c r="A850" s="1"/>
      <c r="B850" s="1"/>
      <c r="C850" s="1"/>
    </row>
    <row r="851" ht="12.75" customHeight="1">
      <c r="A851" s="1"/>
      <c r="B851" s="1"/>
      <c r="C851" s="1"/>
    </row>
    <row r="852" ht="12.75" customHeight="1">
      <c r="A852" s="1"/>
      <c r="B852" s="1"/>
      <c r="C852" s="1"/>
    </row>
    <row r="853" ht="12.75" customHeight="1">
      <c r="A853" s="1"/>
      <c r="B853" s="1"/>
      <c r="C853" s="1"/>
    </row>
    <row r="854" ht="12.75" customHeight="1">
      <c r="A854" s="1"/>
      <c r="B854" s="1"/>
      <c r="C854" s="1"/>
    </row>
    <row r="855" ht="12.75" customHeight="1">
      <c r="A855" s="1"/>
      <c r="B855" s="1"/>
      <c r="C855" s="1"/>
    </row>
    <row r="856" ht="12.75" customHeight="1">
      <c r="A856" s="1"/>
      <c r="B856" s="1"/>
      <c r="C856" s="1"/>
    </row>
    <row r="857" ht="12.75" customHeight="1">
      <c r="A857" s="1"/>
      <c r="B857" s="1"/>
      <c r="C857" s="1"/>
    </row>
    <row r="858" ht="12.75" customHeight="1">
      <c r="A858" s="1"/>
      <c r="B858" s="1"/>
      <c r="C858" s="1"/>
    </row>
    <row r="859" ht="12.75" customHeight="1">
      <c r="A859" s="1"/>
      <c r="B859" s="1"/>
      <c r="C859" s="1"/>
    </row>
    <row r="860" ht="12.75" customHeight="1">
      <c r="A860" s="1"/>
      <c r="B860" s="1"/>
      <c r="C860" s="1"/>
    </row>
    <row r="861" ht="12.75" customHeight="1">
      <c r="A861" s="1"/>
      <c r="B861" s="1"/>
      <c r="C861" s="1"/>
    </row>
    <row r="862" ht="12.75" customHeight="1">
      <c r="A862" s="1"/>
      <c r="B862" s="1"/>
      <c r="C862" s="1"/>
    </row>
    <row r="863" ht="12.75" customHeight="1">
      <c r="A863" s="1"/>
      <c r="B863" s="1"/>
      <c r="C863" s="1"/>
    </row>
    <row r="864" ht="12.75" customHeight="1">
      <c r="A864" s="1"/>
      <c r="B864" s="1"/>
      <c r="C864" s="1"/>
    </row>
    <row r="865" ht="12.75" customHeight="1">
      <c r="A865" s="1"/>
      <c r="B865" s="1"/>
      <c r="C865" s="1"/>
    </row>
    <row r="866" ht="12.75" customHeight="1">
      <c r="A866" s="1"/>
      <c r="B866" s="1"/>
      <c r="C866" s="1"/>
    </row>
    <row r="867" ht="12.75" customHeight="1">
      <c r="A867" s="1"/>
      <c r="B867" s="1"/>
      <c r="C867" s="1"/>
    </row>
    <row r="868" ht="12.75" customHeight="1">
      <c r="A868" s="1"/>
      <c r="B868" s="1"/>
      <c r="C868" s="1"/>
    </row>
    <row r="869" ht="12.75" customHeight="1">
      <c r="A869" s="1"/>
      <c r="B869" s="1"/>
      <c r="C869" s="1"/>
    </row>
    <row r="870" ht="12.75" customHeight="1">
      <c r="A870" s="1"/>
      <c r="B870" s="1"/>
      <c r="C870" s="1"/>
    </row>
    <row r="871" ht="12.75" customHeight="1">
      <c r="A871" s="1"/>
      <c r="B871" s="1"/>
      <c r="C871" s="1"/>
    </row>
    <row r="872" ht="12.75" customHeight="1">
      <c r="A872" s="1"/>
      <c r="B872" s="1"/>
      <c r="C872" s="1"/>
    </row>
    <row r="873" ht="12.75" customHeight="1">
      <c r="A873" s="1"/>
      <c r="B873" s="1"/>
      <c r="C873" s="1"/>
    </row>
    <row r="874" ht="12.75" customHeight="1">
      <c r="A874" s="1"/>
      <c r="B874" s="1"/>
      <c r="C874" s="1"/>
    </row>
    <row r="875" ht="12.75" customHeight="1">
      <c r="A875" s="1"/>
      <c r="B875" s="1"/>
      <c r="C875" s="1"/>
    </row>
    <row r="876" ht="12.75" customHeight="1">
      <c r="A876" s="1"/>
      <c r="B876" s="1"/>
      <c r="C876" s="1"/>
    </row>
    <row r="877" ht="12.75" customHeight="1">
      <c r="A877" s="1"/>
      <c r="B877" s="1"/>
      <c r="C877" s="1"/>
    </row>
    <row r="878" ht="12.75" customHeight="1">
      <c r="A878" s="1"/>
      <c r="B878" s="1"/>
      <c r="C878" s="1"/>
    </row>
    <row r="879" ht="12.75" customHeight="1">
      <c r="A879" s="1"/>
      <c r="B879" s="1"/>
      <c r="C879" s="1"/>
    </row>
    <row r="880" ht="12.75" customHeight="1">
      <c r="A880" s="1"/>
      <c r="B880" s="1"/>
      <c r="C880" s="1"/>
    </row>
    <row r="881" ht="12.75" customHeight="1">
      <c r="A881" s="1"/>
      <c r="B881" s="1"/>
      <c r="C881" s="1"/>
    </row>
    <row r="882" ht="12.75" customHeight="1">
      <c r="A882" s="1"/>
      <c r="B882" s="1"/>
      <c r="C882" s="1"/>
    </row>
    <row r="883" ht="12.75" customHeight="1">
      <c r="A883" s="1"/>
      <c r="B883" s="1"/>
      <c r="C883" s="1"/>
    </row>
    <row r="884" ht="12.75" customHeight="1">
      <c r="A884" s="1"/>
      <c r="B884" s="1"/>
      <c r="C884" s="1"/>
    </row>
    <row r="885" ht="12.75" customHeight="1">
      <c r="A885" s="1"/>
      <c r="B885" s="1"/>
      <c r="C885" s="1"/>
    </row>
    <row r="886" ht="12.75" customHeight="1">
      <c r="A886" s="1"/>
      <c r="B886" s="1"/>
      <c r="C886" s="1"/>
    </row>
    <row r="887" ht="12.75" customHeight="1">
      <c r="A887" s="1"/>
      <c r="B887" s="1"/>
      <c r="C887" s="1"/>
    </row>
    <row r="888" ht="12.75" customHeight="1">
      <c r="A888" s="1"/>
      <c r="B888" s="1"/>
      <c r="C888" s="1"/>
    </row>
    <row r="889" ht="12.75" customHeight="1">
      <c r="A889" s="1"/>
      <c r="B889" s="1"/>
      <c r="C889" s="1"/>
    </row>
    <row r="890" ht="12.75" customHeight="1">
      <c r="A890" s="1"/>
      <c r="B890" s="1"/>
      <c r="C890" s="1"/>
    </row>
    <row r="891" ht="12.75" customHeight="1">
      <c r="A891" s="1"/>
      <c r="B891" s="1"/>
      <c r="C891" s="1"/>
    </row>
    <row r="892" ht="12.75" customHeight="1">
      <c r="A892" s="1"/>
      <c r="B892" s="1"/>
      <c r="C892" s="1"/>
    </row>
    <row r="893" ht="12.75" customHeight="1">
      <c r="A893" s="1"/>
      <c r="B893" s="1"/>
      <c r="C893" s="1"/>
    </row>
    <row r="894" ht="12.75" customHeight="1">
      <c r="A894" s="1"/>
      <c r="B894" s="1"/>
      <c r="C894" s="1"/>
    </row>
    <row r="895" ht="12.75" customHeight="1">
      <c r="A895" s="1"/>
      <c r="B895" s="1"/>
      <c r="C895" s="1"/>
    </row>
    <row r="896" ht="12.75" customHeight="1">
      <c r="A896" s="1"/>
      <c r="B896" s="1"/>
      <c r="C896" s="1"/>
    </row>
    <row r="897" ht="12.75" customHeight="1">
      <c r="A897" s="1"/>
      <c r="B897" s="1"/>
      <c r="C897" s="1"/>
    </row>
    <row r="898" ht="12.75" customHeight="1">
      <c r="A898" s="1"/>
      <c r="B898" s="1"/>
      <c r="C898" s="1"/>
    </row>
    <row r="899" ht="12.75" customHeight="1">
      <c r="A899" s="1"/>
      <c r="B899" s="1"/>
      <c r="C899" s="1"/>
    </row>
    <row r="900" ht="12.75" customHeight="1">
      <c r="A900" s="1"/>
      <c r="B900" s="1"/>
      <c r="C900" s="1"/>
    </row>
    <row r="901" ht="12.75" customHeight="1">
      <c r="A901" s="1"/>
      <c r="B901" s="1"/>
      <c r="C901" s="1"/>
    </row>
    <row r="902" ht="12.75" customHeight="1">
      <c r="A902" s="1"/>
      <c r="B902" s="1"/>
      <c r="C902" s="1"/>
    </row>
    <row r="903" ht="12.75" customHeight="1">
      <c r="A903" s="1"/>
      <c r="B903" s="1"/>
      <c r="C903" s="1"/>
    </row>
    <row r="904" ht="12.75" customHeight="1">
      <c r="A904" s="1"/>
      <c r="B904" s="1"/>
      <c r="C904" s="1"/>
    </row>
    <row r="905" ht="12.75" customHeight="1">
      <c r="A905" s="1"/>
      <c r="B905" s="1"/>
      <c r="C905" s="1"/>
    </row>
    <row r="906" ht="12.75" customHeight="1">
      <c r="A906" s="1"/>
      <c r="B906" s="1"/>
      <c r="C906" s="1"/>
    </row>
    <row r="907" ht="12.75" customHeight="1">
      <c r="A907" s="1"/>
      <c r="B907" s="1"/>
      <c r="C907" s="1"/>
    </row>
    <row r="908" ht="12.75" customHeight="1">
      <c r="A908" s="1"/>
      <c r="B908" s="1"/>
      <c r="C908" s="1"/>
    </row>
    <row r="909" ht="12.75" customHeight="1">
      <c r="A909" s="1"/>
      <c r="B909" s="1"/>
      <c r="C909" s="1"/>
    </row>
    <row r="910" ht="12.75" customHeight="1">
      <c r="A910" s="1"/>
      <c r="B910" s="1"/>
      <c r="C910" s="1"/>
    </row>
    <row r="911" ht="12.75" customHeight="1">
      <c r="A911" s="1"/>
      <c r="B911" s="1"/>
      <c r="C911" s="1"/>
    </row>
    <row r="912" ht="12.75" customHeight="1">
      <c r="A912" s="1"/>
      <c r="B912" s="1"/>
      <c r="C912" s="1"/>
    </row>
    <row r="913" ht="12.75" customHeight="1">
      <c r="A913" s="1"/>
      <c r="B913" s="1"/>
      <c r="C913" s="1"/>
    </row>
    <row r="914" ht="12.75" customHeight="1">
      <c r="A914" s="1"/>
      <c r="B914" s="1"/>
      <c r="C914" s="1"/>
    </row>
    <row r="915" ht="12.75" customHeight="1">
      <c r="A915" s="1"/>
      <c r="B915" s="1"/>
      <c r="C915" s="1"/>
    </row>
    <row r="916" ht="12.75" customHeight="1">
      <c r="A916" s="1"/>
      <c r="B916" s="1"/>
      <c r="C916" s="1"/>
    </row>
    <row r="917" ht="12.75" customHeight="1">
      <c r="A917" s="1"/>
      <c r="B917" s="1"/>
      <c r="C917" s="1"/>
    </row>
    <row r="918" ht="12.75" customHeight="1">
      <c r="A918" s="1"/>
      <c r="B918" s="1"/>
      <c r="C918" s="1"/>
    </row>
    <row r="919" ht="12.75" customHeight="1">
      <c r="A919" s="1"/>
      <c r="B919" s="1"/>
      <c r="C919" s="1"/>
    </row>
    <row r="920" ht="12.75" customHeight="1">
      <c r="A920" s="1"/>
      <c r="B920" s="1"/>
      <c r="C920" s="1"/>
    </row>
    <row r="921" ht="12.75" customHeight="1">
      <c r="A921" s="1"/>
      <c r="B921" s="1"/>
      <c r="C921" s="1"/>
    </row>
    <row r="922" ht="12.75" customHeight="1">
      <c r="A922" s="1"/>
      <c r="B922" s="1"/>
      <c r="C922" s="1"/>
    </row>
    <row r="923" ht="12.75" customHeight="1">
      <c r="A923" s="1"/>
      <c r="B923" s="1"/>
      <c r="C923" s="1"/>
    </row>
    <row r="924" ht="12.75" customHeight="1">
      <c r="A924" s="1"/>
      <c r="B924" s="1"/>
      <c r="C924" s="1"/>
    </row>
    <row r="925" ht="12.75" customHeight="1">
      <c r="A925" s="1"/>
      <c r="B925" s="1"/>
      <c r="C925" s="1"/>
    </row>
    <row r="926" ht="12.75" customHeight="1">
      <c r="A926" s="1"/>
      <c r="B926" s="1"/>
      <c r="C926" s="1"/>
    </row>
    <row r="927" ht="12.75" customHeight="1">
      <c r="A927" s="1"/>
      <c r="B927" s="1"/>
      <c r="C927" s="1"/>
    </row>
    <row r="928" ht="12.75" customHeight="1">
      <c r="A928" s="1"/>
      <c r="B928" s="1"/>
      <c r="C928" s="1"/>
    </row>
    <row r="929" ht="12.75" customHeight="1">
      <c r="A929" s="1"/>
      <c r="B929" s="1"/>
      <c r="C929" s="1"/>
    </row>
    <row r="930" ht="12.75" customHeight="1">
      <c r="A930" s="1"/>
      <c r="B930" s="1"/>
      <c r="C930" s="1"/>
    </row>
    <row r="931" ht="12.75" customHeight="1">
      <c r="A931" s="1"/>
      <c r="B931" s="1"/>
      <c r="C931" s="1"/>
    </row>
    <row r="932" ht="12.75" customHeight="1">
      <c r="A932" s="1"/>
      <c r="B932" s="1"/>
      <c r="C932" s="1"/>
    </row>
    <row r="933" ht="12.75" customHeight="1">
      <c r="A933" s="1"/>
      <c r="B933" s="1"/>
      <c r="C933" s="1"/>
    </row>
    <row r="934" ht="12.75" customHeight="1">
      <c r="A934" s="1"/>
      <c r="B934" s="1"/>
      <c r="C934" s="1"/>
    </row>
    <row r="935" ht="12.75" customHeight="1">
      <c r="A935" s="1"/>
      <c r="B935" s="1"/>
      <c r="C935" s="1"/>
    </row>
    <row r="936" ht="12.75" customHeight="1">
      <c r="A936" s="1"/>
      <c r="B936" s="1"/>
      <c r="C936" s="1"/>
    </row>
    <row r="937" ht="12.75" customHeight="1">
      <c r="A937" s="1"/>
      <c r="B937" s="1"/>
      <c r="C937" s="1"/>
    </row>
    <row r="938" ht="12.75" customHeight="1">
      <c r="A938" s="1"/>
      <c r="B938" s="1"/>
      <c r="C938" s="1"/>
    </row>
    <row r="939" ht="12.75" customHeight="1">
      <c r="A939" s="1"/>
      <c r="B939" s="1"/>
      <c r="C939" s="1"/>
    </row>
    <row r="940" ht="12.75" customHeight="1">
      <c r="A940" s="1"/>
      <c r="B940" s="1"/>
      <c r="C940" s="1"/>
    </row>
    <row r="941" ht="12.75" customHeight="1">
      <c r="A941" s="1"/>
      <c r="B941" s="1"/>
      <c r="C941" s="1"/>
    </row>
    <row r="942" ht="12.75" customHeight="1">
      <c r="A942" s="1"/>
      <c r="B942" s="1"/>
      <c r="C942" s="1"/>
    </row>
    <row r="943" ht="12.75" customHeight="1">
      <c r="A943" s="1"/>
      <c r="B943" s="1"/>
      <c r="C943" s="1"/>
    </row>
    <row r="944" ht="12.75" customHeight="1">
      <c r="A944" s="1"/>
      <c r="B944" s="1"/>
      <c r="C944" s="1"/>
    </row>
    <row r="945" ht="12.75" customHeight="1">
      <c r="A945" s="1"/>
      <c r="B945" s="1"/>
      <c r="C945" s="1"/>
    </row>
    <row r="946" ht="12.75" customHeight="1">
      <c r="A946" s="1"/>
      <c r="B946" s="1"/>
      <c r="C946" s="1"/>
    </row>
    <row r="947" ht="12.75" customHeight="1">
      <c r="A947" s="1"/>
      <c r="B947" s="1"/>
      <c r="C947" s="1"/>
    </row>
    <row r="948" ht="12.75" customHeight="1">
      <c r="A948" s="1"/>
      <c r="B948" s="1"/>
      <c r="C948" s="1"/>
    </row>
    <row r="949" ht="12.75" customHeight="1">
      <c r="A949" s="1"/>
      <c r="B949" s="1"/>
      <c r="C949" s="1"/>
    </row>
    <row r="950" ht="12.75" customHeight="1">
      <c r="A950" s="1"/>
      <c r="B950" s="1"/>
      <c r="C950" s="1"/>
    </row>
    <row r="951" ht="12.75" customHeight="1">
      <c r="A951" s="1"/>
      <c r="B951" s="1"/>
      <c r="C951" s="1"/>
    </row>
    <row r="952" ht="12.75" customHeight="1">
      <c r="A952" s="1"/>
      <c r="B952" s="1"/>
      <c r="C952" s="1"/>
    </row>
    <row r="953" ht="12.75" customHeight="1">
      <c r="A953" s="1"/>
      <c r="B953" s="1"/>
      <c r="C953" s="1"/>
    </row>
    <row r="954" ht="12.75" customHeight="1">
      <c r="A954" s="1"/>
      <c r="B954" s="1"/>
      <c r="C954" s="1"/>
    </row>
    <row r="955" ht="12.75" customHeight="1">
      <c r="A955" s="1"/>
      <c r="B955" s="1"/>
      <c r="C955" s="1"/>
    </row>
    <row r="956" ht="12.75" customHeight="1">
      <c r="A956" s="1"/>
      <c r="B956" s="1"/>
      <c r="C956" s="1"/>
    </row>
    <row r="957" ht="12.75" customHeight="1">
      <c r="A957" s="1"/>
      <c r="B957" s="1"/>
      <c r="C957" s="1"/>
    </row>
    <row r="958" ht="12.75" customHeight="1">
      <c r="A958" s="1"/>
      <c r="B958" s="1"/>
      <c r="C958" s="1"/>
    </row>
    <row r="959" ht="12.75" customHeight="1">
      <c r="A959" s="1"/>
      <c r="B959" s="1"/>
      <c r="C959" s="1"/>
    </row>
    <row r="960" ht="12.75" customHeight="1">
      <c r="A960" s="1"/>
      <c r="B960" s="1"/>
      <c r="C960" s="1"/>
    </row>
    <row r="961" ht="12.75" customHeight="1">
      <c r="A961" s="1"/>
      <c r="B961" s="1"/>
      <c r="C961" s="1"/>
    </row>
    <row r="962" ht="12.75" customHeight="1">
      <c r="A962" s="1"/>
      <c r="B962" s="1"/>
      <c r="C962" s="1"/>
    </row>
    <row r="963" ht="12.75" customHeight="1">
      <c r="A963" s="1"/>
      <c r="B963" s="1"/>
      <c r="C963" s="1"/>
    </row>
    <row r="964" ht="12.75" customHeight="1">
      <c r="A964" s="1"/>
      <c r="B964" s="1"/>
      <c r="C964" s="1"/>
    </row>
    <row r="965" ht="12.75" customHeight="1">
      <c r="A965" s="1"/>
      <c r="B965" s="1"/>
      <c r="C965" s="1"/>
    </row>
    <row r="966" ht="12.75" customHeight="1">
      <c r="A966" s="1"/>
      <c r="B966" s="1"/>
      <c r="C966" s="1"/>
    </row>
    <row r="967" ht="12.75" customHeight="1">
      <c r="A967" s="1"/>
      <c r="B967" s="1"/>
      <c r="C967" s="1"/>
    </row>
    <row r="968" ht="12.75" customHeight="1">
      <c r="A968" s="1"/>
      <c r="B968" s="1"/>
      <c r="C968" s="1"/>
    </row>
    <row r="969" ht="12.75" customHeight="1">
      <c r="A969" s="1"/>
      <c r="B969" s="1"/>
      <c r="C969" s="1"/>
    </row>
    <row r="970" ht="12.75" customHeight="1">
      <c r="A970" s="1"/>
      <c r="B970" s="1"/>
      <c r="C970" s="1"/>
    </row>
    <row r="971" ht="12.75" customHeight="1">
      <c r="A971" s="1"/>
      <c r="B971" s="1"/>
      <c r="C971" s="1"/>
    </row>
    <row r="972" ht="12.75" customHeight="1">
      <c r="A972" s="1"/>
      <c r="B972" s="1"/>
      <c r="C972" s="1"/>
    </row>
    <row r="973" ht="12.75" customHeight="1">
      <c r="A973" s="1"/>
      <c r="B973" s="1"/>
      <c r="C973" s="1"/>
    </row>
    <row r="974" ht="12.75" customHeight="1">
      <c r="A974" s="1"/>
      <c r="B974" s="1"/>
      <c r="C974" s="1"/>
    </row>
    <row r="975" ht="12.75" customHeight="1">
      <c r="A975" s="1"/>
      <c r="B975" s="1"/>
      <c r="C975" s="1"/>
    </row>
    <row r="976" ht="12.75" customHeight="1">
      <c r="A976" s="1"/>
      <c r="B976" s="1"/>
      <c r="C976" s="1"/>
    </row>
    <row r="977" ht="12.75" customHeight="1">
      <c r="A977" s="1"/>
      <c r="B977" s="1"/>
      <c r="C977" s="1"/>
    </row>
    <row r="978" ht="12.75" customHeight="1">
      <c r="A978" s="1"/>
      <c r="B978" s="1"/>
      <c r="C978" s="1"/>
    </row>
    <row r="979" ht="12.75" customHeight="1">
      <c r="A979" s="1"/>
      <c r="B979" s="1"/>
      <c r="C979" s="1"/>
    </row>
    <row r="980" ht="12.75" customHeight="1">
      <c r="A980" s="1"/>
      <c r="B980" s="1"/>
      <c r="C980" s="1"/>
    </row>
    <row r="981" ht="12.75" customHeight="1">
      <c r="A981" s="1"/>
      <c r="B981" s="1"/>
      <c r="C981" s="1"/>
    </row>
    <row r="982" ht="12.75" customHeight="1">
      <c r="A982" s="1"/>
      <c r="B982" s="1"/>
      <c r="C982" s="1"/>
    </row>
    <row r="983" ht="12.75" customHeight="1">
      <c r="A983" s="1"/>
      <c r="B983" s="1"/>
      <c r="C983" s="1"/>
    </row>
    <row r="984" ht="12.75" customHeight="1">
      <c r="A984" s="1"/>
      <c r="B984" s="1"/>
      <c r="C984" s="1"/>
    </row>
    <row r="985" ht="12.75" customHeight="1">
      <c r="A985" s="1"/>
      <c r="B985" s="1"/>
      <c r="C985" s="1"/>
    </row>
    <row r="986" ht="12.75" customHeight="1">
      <c r="A986" s="1"/>
      <c r="B986" s="1"/>
      <c r="C986" s="1"/>
    </row>
    <row r="987" ht="12.75" customHeight="1">
      <c r="A987" s="1"/>
      <c r="B987" s="1"/>
      <c r="C987" s="1"/>
    </row>
    <row r="988" ht="12.75" customHeight="1">
      <c r="A988" s="1"/>
      <c r="B988" s="1"/>
      <c r="C988" s="1"/>
    </row>
    <row r="989" ht="12.75" customHeight="1">
      <c r="A989" s="1"/>
      <c r="B989" s="1"/>
      <c r="C989" s="1"/>
    </row>
    <row r="990" ht="12.75" customHeight="1">
      <c r="A990" s="1"/>
      <c r="B990" s="1"/>
      <c r="C990" s="1"/>
    </row>
    <row r="991" ht="12.75" customHeight="1">
      <c r="A991" s="1"/>
      <c r="B991" s="1"/>
      <c r="C991" s="1"/>
    </row>
    <row r="992" ht="12.75" customHeight="1">
      <c r="A992" s="1"/>
      <c r="B992" s="1"/>
      <c r="C992" s="1"/>
    </row>
    <row r="993" ht="12.75" customHeight="1">
      <c r="A993" s="1"/>
      <c r="B993" s="1"/>
      <c r="C993" s="1"/>
    </row>
    <row r="994" ht="12.75" customHeight="1">
      <c r="A994" s="1"/>
      <c r="B994" s="1"/>
      <c r="C994" s="1"/>
    </row>
    <row r="995" ht="12.75" customHeight="1">
      <c r="A995" s="1"/>
      <c r="B995" s="1"/>
      <c r="C995" s="1"/>
    </row>
    <row r="996" ht="12.75" customHeight="1">
      <c r="A996" s="1"/>
      <c r="B996" s="1"/>
      <c r="C996" s="1"/>
    </row>
    <row r="997" ht="12.75" customHeight="1">
      <c r="A997" s="1"/>
      <c r="B997" s="1"/>
      <c r="C997" s="1"/>
    </row>
    <row r="998" ht="12.75" customHeight="1">
      <c r="A998" s="1"/>
      <c r="B998" s="1"/>
      <c r="C998" s="1"/>
    </row>
    <row r="999" ht="12.75" customHeight="1">
      <c r="A999" s="1"/>
      <c r="B999" s="1"/>
      <c r="C999" s="1"/>
    </row>
    <row r="1000" ht="12.75" customHeight="1">
      <c r="A1000" s="1"/>
      <c r="B1000" s="1"/>
      <c r="C1000" s="1"/>
    </row>
  </sheetData>
  <printOptions/>
  <pageMargins bottom="1.05277777777778" footer="0.0" header="0.0" left="0.7875" right="0.7875" top="1.05277777777778"/>
  <pageSetup paperSize="9" orientation="portrait"/>
  <headerFooter>
    <oddHeader>&amp;C&amp;A</oddHeader>
    <oddFooter>&amp;CPágina &amp;P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2022-10-15T08:23:02Z</dcterms:created>
</cp:coreProperties>
</file>

<file path=docProps/custom.xml><?xml version="1.0" encoding="utf-8"?>
<Properties xmlns="http://schemas.openxmlformats.org/officeDocument/2006/custom-properties" xmlns:vt="http://schemas.openxmlformats.org/officeDocument/2006/docPropsVTypes"/>
</file>